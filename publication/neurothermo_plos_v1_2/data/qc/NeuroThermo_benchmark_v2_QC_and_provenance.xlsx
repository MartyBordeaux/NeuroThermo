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51a6feafe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39e8c5471f43e7"/>
    <x:sheet xmlns:r="http://schemas.openxmlformats.org/officeDocument/2006/relationships" name="Provenance" sheetId="2" r:id="Rb5c0c2b93e8440f0"/>
    <x:sheet xmlns:r="http://schemas.openxmlformats.org/officeDocument/2006/relationships" name="Capacitance QC" sheetId="3" r:id="R5c73886f115a4406"/>
    <x:sheet xmlns:r="http://schemas.openxmlformats.org/officeDocument/2006/relationships" name="CV Splits" sheetId="4" r:id="Rb8fc7d5ae5284e08"/>
    <x:sheet xmlns:r="http://schemas.openxmlformats.org/officeDocument/2006/relationships" name="Group Endpoints" sheetId="5" r:id="R677f382652e1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</x:fills>
  <x:borders count="1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1" fillId="3" borderId="0" xfId="0" applyNumberFormat="1" applyFont="1" applyFill="1" applyBorder="1"/>
    <x:xf numFmtId="0" fontId="1" fillId="3" borderId="7" xfId="0" applyNumberFormat="1" applyFont="1" applyFill="1" applyBorder="1"/>
    <x:xf numFmtId="0" fontId="1" fillId="3" borderId="9" xfId="0" applyNumberFormat="1" applyFont="1" applyFill="1" applyBorder="1"/>
    <x:xf numFmtId="0" fontId="1" fillId="3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1" fontId="2" fillId="0" borderId="6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89737999e48c4" /><Relationship Type="http://schemas.openxmlformats.org/officeDocument/2006/relationships/theme" Target="/xl/theme/theme1.xml" Id="R056533a98ec94129" /><Relationship Type="http://schemas.openxmlformats.org/officeDocument/2006/relationships/sharedStrings" Target="/xl/sharedStrings.xml" Id="Rce38ed2a02da4fbd" /><Relationship Type="http://schemas.openxmlformats.org/officeDocument/2006/relationships/worksheet" Target="/xl/worksheets/sheet1.xml" Id="R4b39e8c5471f43e7" /><Relationship Type="http://schemas.openxmlformats.org/officeDocument/2006/relationships/worksheet" Target="/xl/worksheets/sheet2.xml" Id="Rb5c0c2b93e8440f0" /><Relationship Type="http://schemas.openxmlformats.org/officeDocument/2006/relationships/worksheet" Target="/xl/worksheets/sheet3.xml" Id="R5c73886f115a4406" /><Relationship Type="http://schemas.openxmlformats.org/officeDocument/2006/relationships/worksheet" Target="/xl/worksheets/sheet4.xml" Id="Rb8fc7d5ae5284e08" /><Relationship Type="http://schemas.openxmlformats.org/officeDocument/2006/relationships/worksheet" Target="/xl/worksheets/sheet5.xml" Id="R677f382652e14d65" /></Relationships>
</file>

<file path=xl/tables/table1.xml><?xml version="1.0" encoding="utf-8"?>
<x:table xmlns:x="http://schemas.openxmlformats.org/spreadsheetml/2006/main" id="1" name="ProvenanceTable" displayName="ProvenanceTable" ref="A1:R26" headerRowCount="1" totalsRowCount="0" totalsRowShown="0">
  <x:tableColumns count="18">
    <x:tableColumn id="1" name="record_id"/>
    <x:tableColumn id="2" name="cell_id"/>
    <x:tableColumn id="3" name="animal_id"/>
    <x:tableColumn id="4" name="group"/>
    <x:tableColumn id="5" name="cc_file"/>
    <x:tableColumn id="6" name="capa_file"/>
    <x:tableColumn id="7" name="capacitance_qc"/>
    <x:tableColumn id="8" name="overall_qc"/>
    <x:tableColumn id="9" name="exclusion_reason"/>
    <x:tableColumn id="10" name="in_old_fits"/>
    <x:tableColumn id="11" name="in_continuation"/>
    <x:tableColumn id="12" name="in_manuscript"/>
    <x:tableColumn id="13" name="in_new_benchmark"/>
    <x:tableColumn id="14" name="source_file"/>
    <x:tableColumn id="15" name="decision_source"/>
    <x:tableColumn id="16" name="decision_date"/>
    <x:tableColumn id="17" name="reviewer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citanceQCTable" displayName="CapacitanceQCTable" ref="A1:S26" headerRowCount="1" totalsRowCount="0" totalsRowShown="0">
  <x:tableColumns count="19">
    <x:tableColumn id="1" name="group"/>
    <x:tableColumn id="2" name="cell_id"/>
    <x:tableColumn id="3" name="n_capa_sweeps"/>
    <x:tableColumn id="4" name="capacitance_raw_pF"/>
    <x:tableColumn id="5" name="capacitance_correction_factor"/>
    <x:tableColumn id="6" name="capacitance_pF"/>
    <x:tableColumn id="7" name="capacitance_mad_pF"/>
    <x:tableColumn id="8" name="capacitance_robust_cv"/>
    <x:tableColumn id="9" name="capacitance_10ms_pF"/>
    <x:tableColumn id="10" name="capacitance_20ms_pF"/>
    <x:tableColumn id="11" name="capacitance_50ms_pF"/>
    <x:tableColumn id="12" name="capacitance_qc_flag"/>
    <x:tableColumn id="13" name="automatic_flag_resolution"/>
    <x:tableColumn id="14" name="capacitance_qc"/>
    <x:tableColumn id="15" name="overall_qc"/>
    <x:tableColumn id="16" name="exclusion_reason"/>
    <x:tableColumn id="17" name="decision_source"/>
    <x:tableColumn id="18" name="decision_date"/>
    <x:tableColumn id="19" name="review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VSplitsTable" displayName="CVSplitsTable" ref="A1:E157" headerRowCount="1" totalsRowCount="0" totalsRowShown="0">
  <x:tableColumns count="5">
    <x:tableColumn id="1" name="cv_scheme"/>
    <x:tableColumn id="2" name="fold"/>
    <x:tableColumn id="3" name="group"/>
    <x:tableColumn id="4" name="cell_id"/>
    <x:tableColumn id="5" name="part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upEndpointsTable" displayName="GroupEndpointsTable" ref="A1:J31" headerRowCount="1" totalsRowCount="0" totalsRowShown="0">
  <x:tableColumns count="10">
    <x:tableColumn id="1" name="capacitance_window_ms"/>
    <x:tableColumn id="2" name="group"/>
    <x:tableColumn id="3" name="metric"/>
    <x:tableColumn id="4" name="n_cells"/>
    <x:tableColumn id="5" name="mean"/>
    <x:tableColumn id="6" name="sd"/>
    <x:tableColumn id="7" name="sem"/>
    <x:tableColumn id="8" name="median"/>
    <x:tableColumn id="9" name="ci95_low_cell_bootstrap"/>
    <x:tableColumn id="10" name="ci95_high_cell_bootstr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a35591aae04c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f8c0978f314a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056d837bb344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cbd950ef094a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2.779999732971191" hidden="0" customWidth="1"/>
    <x:col min="4" max="4" width="20" hidden="0" customWidth="1"/>
    <x:col min="5" max="5" width="17.780000686645508" hidden="0" customWidth="1"/>
    <x:col min="7" max="7" width="19.440000534057617" hidden="0" customWidth="1"/>
    <x:col min="8" max="8" width="28.329999923706055" hidden="0" customWidth="1"/>
    <x:col min="3" max="3" width="3.109999895095825" hidden="0" customWidth="1"/>
    <x:col min="6" max="6" width="3.109999895095825" hidden="0" customWidth="1"/>
  </x:cols>
  <x:sheetData>
    <x:row r="1" ht="31.5" customHeight="1">
      <x:c r="A1" s="22" t="str">
        <x:v>NeuroThermo single-cell benchmark v2.0.0</x:v>
      </x:c>
      <x:c r="B1" s="22"/>
      <x:c r="C1" s="22"/>
      <x:c r="D1" s="22"/>
      <x:c r="E1" s="22"/>
      <x:c r="F1" s="22"/>
      <x:c r="G1" s="22"/>
      <x:c r="H1" s="22"/>
    </x:row>
    <x:row r="3">
      <x:c r="A3" s="25" t="str">
        <x:v>Freeze status</x:v>
      </x:c>
      <x:c r="B3" s="26" t="str">
        <x:v>FROZEN</x:v>
      </x:c>
      <x:c r="D3" s="25" t="str">
        <x:v>Primary input</x:v>
      </x:c>
      <x:c r="E3" s="26" t="str">
        <x:v>J = I/Cm (pA/pF)</x:v>
      </x:c>
      <x:c r="G3" s="25" t="str">
        <x:v>Frozen date</x:v>
      </x:c>
      <x:c r="H3" s="26" t="str">
        <x:v>2026-08-04</x:v>
      </x:c>
    </x:row>
    <x:row r="5">
      <x:c r="A5" s="25" t="str">
        <x:v>Primary cohort</x:v>
      </x:c>
      <x:c r="B5" s="26" t="str">
        <x:v>Cells</x:v>
      </x:c>
      <x:c r="D5" s="25" t="str">
        <x:v>Capacitance rule</x:v>
      </x:c>
      <x:c r="E5" s="26" t="str">
        <x:v>Frozen value</x:v>
      </x:c>
      <x:c r="G5" s="25" t="str">
        <x:v>Cross-validation</x:v>
      </x:c>
      <x:c r="H5" s="26" t="str">
        <x:v>Frozen scheme</x:v>
      </x:c>
    </x:row>
    <x:row r="6">
      <x:c r="A6" s="31" t="str">
        <x:v>WT PASS</x:v>
      </x:c>
      <x:c r="B6" s="32" t="n">
        <x:f>COUNTIFS('Provenance'!$D$2:$D$26,"WT",'Provenance'!$H$2:$H$26,"PASS")</x:f>
        <x:v>15</x:v>
      </x:c>
      <x:c r="D6" s="31" t="str">
        <x:v>Primary window</x:v>
      </x:c>
      <x:c r="E6" s="32" t="str">
        <x:v>20 ms</x:v>
      </x:c>
      <x:c r="G6" s="31" t="str">
        <x:v>WT</x:v>
      </x:c>
      <x:c r="H6" s="32" t="str">
        <x:v>5 complete-cell folds; 3 test cells/fold</x:v>
      </x:c>
    </x:row>
    <x:row r="7">
      <x:c r="A7" s="33" t="str">
        <x:v>SCA3 PASS</x:v>
      </x:c>
      <x:c r="B7" s="34" t="n">
        <x:f>COUNTIFS('Provenance'!$D$2:$D$26,"SCA3",'Provenance'!$H$2:$H$26,"PASS")</x:f>
        <x:v>9</x:v>
      </x:c>
      <x:c r="D7" s="33" t="str">
        <x:v>Sensitivity windows</x:v>
      </x:c>
      <x:c r="E7" s="34" t="str">
        <x:v>10, 50 ms</x:v>
      </x:c>
      <x:c r="G7" s="33" t="str">
        <x:v>SCA3</x:v>
      </x:c>
      <x:c r="H7" s="34" t="str">
        <x:v>9-fold leave-one-cell-out</x:v>
      </x:c>
    </x:row>
    <x:row r="8">
      <x:c r="A8" s="33" t="str">
        <x:v>Total PASS</x:v>
      </x:c>
      <x:c r="B8" s="34" t="n">
        <x:f>B6+B7</x:f>
        <x:v>24</x:v>
      </x:c>
      <x:c r="D8" s="33" t="str">
        <x:v>Correction factor</x:v>
      </x:c>
      <x:c r="E8" s="34" t="n">
        <x:v>5.18</x:v>
      </x:c>
      <x:c r="G8" s="33" t="str">
        <x:v>Resampling unit</x:v>
      </x:c>
      <x:c r="H8" s="34" t="str">
        <x:v>cell</x:v>
      </x:c>
    </x:row>
    <x:row r="9">
      <x:c r="A9" s="33" t="str">
        <x:v>FAIL</x:v>
      </x:c>
      <x:c r="B9" s="34" t="n">
        <x:f>COUNTIF('Provenance'!$H$2:$H$26,"FAIL")</x:f>
        <x:v>1</x:v>
      </x:c>
      <x:c r="D9" s="33" t="str">
        <x:v>Robust CV limit</x:v>
      </x:c>
      <x:c r="E9" s="34" t="n">
        <x:v>0.3</x:v>
      </x:c>
      <x:c r="G9" s="33" t="str">
        <x:v>Animal ID</x:v>
      </x:c>
      <x:c r="H9" s="34" t="str">
        <x:v>NA_NOT_RECOVERABLE</x:v>
      </x:c>
    </x:row>
    <x:row r="10">
      <x:c r="A10" s="35" t="str">
        <x:v>PENDING/HOLD</x:v>
      </x:c>
      <x:c r="B10" s="36" t="n">
        <x:f>COUNTIF('Provenance'!$H$2:$H$26,"PENDING")+COUNTIF('Provenance'!$H$2:$H$26,"HOLD")</x:f>
        <x:v>0</x:v>
      </x:c>
      <x:c r="D10" s="35" t="str">
        <x:v>Excluded cell</x:v>
      </x:c>
      <x:c r="E10" s="36" t="str">
        <x:v>WT_12</x:v>
      </x:c>
      <x:c r="G10" s="35" t="str">
        <x:v>Train/test leakage</x:v>
      </x:c>
      <x:c r="H10" s="36" t="str">
        <x:v>forbidden</x:v>
      </x:c>
    </x:row>
    <x:row r="12">
      <x:c r="A12" s="28" t="str">
        <x:v>Interpretation and restrictions</x:v>
      </x:c>
      <x:c r="B12" s="29"/>
      <x:c r="C12" s="29"/>
      <x:c r="D12" s="29"/>
      <x:c r="E12" s="29"/>
      <x:c r="F12" s="29"/>
      <x:c r="G12" s="29"/>
      <x:c r="H12" s="30"/>
    </x:row>
    <x:row r="13">
      <x:c r="A13" s="39" t="str">
        <x:v>Exact cell-current rows are the primary fitting targets; interpolated group F-J curves are descriptive.</x:v>
      </x:c>
      <x:c r="B13" s="39"/>
      <x:c r="C13" s="39"/>
      <x:c r="D13" s="39"/>
      <x:c r="E13" s="39"/>
      <x:c r="F13" s="39"/>
      <x:c r="G13" s="39"/>
      <x:c r="H13" s="39"/>
    </x:row>
    <x:row r="14">
      <x:c r="A14" s="39" t="str">
        <x:v>Sweeps are repeated observations within cells and never independent biological replicates.</x:v>
      </x:c>
      <x:c r="B14" s="39"/>
      <x:c r="C14" s="39"/>
      <x:c r="D14" s="39"/>
      <x:c r="E14" s="39"/>
      <x:c r="F14" s="39"/>
      <x:c r="G14" s="39"/>
      <x:c r="H14" s="39"/>
    </x:row>
    <x:row r="15">
      <x:c r="A15" s="39" t="str">
        <x:v>Animal-level and hierarchical inference are prohibited because animal_id cannot be recovered.</x:v>
      </x:c>
      <x:c r="B15" s="39"/>
      <x:c r="C15" s="39"/>
      <x:c r="D15" s="39"/>
      <x:c r="E15" s="39"/>
      <x:c r="F15" s="39"/>
      <x:c r="G15" s="39"/>
      <x:c r="H15" s="39"/>
    </x:row>
    <x:row r="16">
      <x:c r="A16" s="39" t="str">
        <x:v>AIC/BIC are prohibited for composite loss unless a likelihood and error model are explicitly defined.</x:v>
      </x:c>
      <x:c r="B16" s="39"/>
      <x:c r="C16" s="39"/>
      <x:c r="D16" s="39"/>
      <x:c r="E16" s="39"/>
      <x:c r="F16" s="39"/>
      <x:c r="G16" s="39"/>
      <x:c r="H16" s="39"/>
    </x:row>
    <x:row r="17">
      <x:c r="A17" s="39" t="str">
        <x:v>Any change to cohort, QC, target, split or metric requires a new benchmark version and manifest hash.</x:v>
      </x:c>
      <x:c r="B17" s="39"/>
      <x:c r="C17" s="39"/>
      <x:c r="D17" s="39"/>
      <x:c r="E17" s="39"/>
      <x:c r="F17" s="39"/>
      <x:c r="G17" s="39"/>
      <x:c r="H17" s="39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9.4399995803833" hidden="0" customWidth="1"/>
    <x:col min="3" max="3" width="17.780000686645508" hidden="0" customWidth="1"/>
    <x:col min="4" max="4" width="5.110000133514404" hidden="0" customWidth="1"/>
    <x:col min="5" max="5" width="12.779999732971191" hidden="0" customWidth="1"/>
    <x:col min="6" max="6" width="13.329999923706055" hidden="0" customWidth="1"/>
    <x:col min="7" max="7" width="12.670000076293945" hidden="0" customWidth="1"/>
    <x:col min="8" max="8" width="8.5600004196167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6.110000610351562" hidden="0" customWidth="1"/>
    <x:col min="13" max="13" width="15.670000076293945" hidden="0" customWidth="1"/>
    <x:col min="14" max="14" width="11.109999656677246" hidden="0" customWidth="1"/>
    <x:col min="15" max="15" width="36.66999816894531" hidden="0" customWidth="1"/>
    <x:col min="16" max="16" width="11.329999923706055" hidden="0" customWidth="1"/>
    <x:col min="17" max="17" width="27.219999313354492" hidden="0" customWidth="1"/>
    <x:col min="18" max="18" width="35.560001373291016" hidden="0" customWidth="1"/>
  </x:cols>
  <x:sheetData>
    <x:row r="1">
      <x:c r="A1" s="9" t="str">
        <x:v>record_id</x:v>
      </x:c>
      <x:c r="B1" s="10" t="str">
        <x:v>cell_id</x:v>
      </x:c>
      <x:c r="C1" s="10" t="str">
        <x:v>animal_id</x:v>
      </x:c>
      <x:c r="D1" s="10" t="str">
        <x:v>group</x:v>
      </x:c>
      <x:c r="E1" s="10" t="str">
        <x:v>cc_file</x:v>
      </x:c>
      <x:c r="F1" s="10" t="str">
        <x:v>capa_file</x:v>
      </x:c>
      <x:c r="G1" s="10" t="str">
        <x:v>capacitance_qc</x:v>
      </x:c>
      <x:c r="H1" s="10" t="str">
        <x:v>overall_qc</x:v>
      </x:c>
      <x:c r="I1" s="10" t="str">
        <x:v>exclusion_reason</x:v>
      </x:c>
      <x:c r="J1" s="10" t="str">
        <x:v>in_old_fits</x:v>
      </x:c>
      <x:c r="K1" s="10" t="str">
        <x:v>in_continuation</x:v>
      </x:c>
      <x:c r="L1" s="10" t="str">
        <x:v>in_manuscript</x:v>
      </x:c>
      <x:c r="M1" s="10" t="str">
        <x:v>in_new_benchmark</x:v>
      </x:c>
      <x:c r="N1" s="10" t="str">
        <x:v>source_file</x:v>
      </x:c>
      <x:c r="O1" s="10" t="str">
        <x:v>decision_source</x:v>
      </x:c>
      <x:c r="P1" s="10" t="str">
        <x:v>decision_date</x:v>
      </x:c>
      <x:c r="Q1" s="10" t="str">
        <x:v>reviewer</x:v>
      </x:c>
      <x:c r="R1" s="11" t="str">
        <x:v>notes</x:v>
      </x:c>
    </x:row>
    <x:row r="2">
      <x:c r="A2" s="16" t="str">
        <x:v>SCA3_01_CC_CAPA</x:v>
      </x:c>
      <x:c r="B2" s="16" t="str">
        <x:v>SCA3_01</x:v>
      </x:c>
      <x:c r="C2" s="16" t="str">
        <x:v>NA_NOT_RECOVERABLE</x:v>
      </x:c>
      <x:c r="D2" s="16" t="str">
        <x:v>SCA3</x:v>
      </x:c>
      <x:c r="E2" s="16" t="str">
        <x:v>SCA3/cc_01.abf</x:v>
      </x:c>
      <x:c r="F2" s="16" t="str">
        <x:v>SCA3/capa_01.abf</x:v>
      </x:c>
      <x:c r="G2" s="16" t="str">
        <x:v>PASS</x:v>
      </x:c>
      <x:c r="H2" s="16" t="str">
        <x:v>PASS</x:v>
      </x:c>
      <x:c r="I2" s="16"/>
      <x:c r="J2" s="16" t="str">
        <x:v>UNKNOWN_NOT_VERIFIED</x:v>
      </x:c>
      <x:c r="K2" s="16" t="str">
        <x:v>UNKNOWN_NOT_VERIFIED</x:v>
      </x:c>
      <x:c r="L2" s="16" t="str">
        <x:v>UNKNOWN_NOT_VERIFIED</x:v>
      </x:c>
      <x:c r="M2" s="16" t="str">
        <x:v>True</x:v>
      </x:c>
      <x:c r="N2" s="16" t="str">
        <x:v>SCA3.zip</x:v>
      </x:c>
      <x:c r="O2" s="16" t="str">
        <x:v>model-blind review of capacitance_qc_all_cells.pdf plus frozen v1 table; robust_cv threshold 0.30</x:v>
      </x:c>
      <x:c r="P2" s="16" t="str">
        <x:v>2026-08-04</x:v>
      </x:c>
      <x:c r="Q2" s="16" t="str">
        <x:v>Codex_assisted_QC_under_PI_freeze_instruction</x:v>
      </x:c>
      <x:c r="R2" s="16" t="str">
        <x:v>20 ms primary; 10/50 ms mandatory sensitivity. Frozen-v1 automatic flag: pass.</x:v>
      </x:c>
    </x:row>
    <x:row r="3">
      <x:c r="A3" s="17" t="str">
        <x:v>SCA3_02_CC_CAPA</x:v>
      </x:c>
      <x:c r="B3" s="17" t="str">
        <x:v>SCA3_02</x:v>
      </x:c>
      <x:c r="C3" s="17" t="str">
        <x:v>NA_NOT_RECOVERABLE</x:v>
      </x:c>
      <x:c r="D3" s="17" t="str">
        <x:v>SCA3</x:v>
      </x:c>
      <x:c r="E3" s="17" t="str">
        <x:v>SCA3/cc_02.abf</x:v>
      </x:c>
      <x:c r="F3" s="17" t="str">
        <x:v>SCA3/capa_02.abf</x:v>
      </x:c>
      <x:c r="G3" s="17" t="str">
        <x:v>PASS</x:v>
      </x:c>
      <x:c r="H3" s="17" t="str">
        <x:v>PASS</x:v>
      </x:c>
      <x:c r="I3" s="17"/>
      <x:c r="J3" s="17" t="str">
        <x:v>UNKNOWN_NOT_VERIFIED</x:v>
      </x:c>
      <x:c r="K3" s="17" t="str">
        <x:v>UNKNOWN_NOT_VERIFIED</x:v>
      </x:c>
      <x:c r="L3" s="17" t="str">
        <x:v>UNKNOWN_NOT_VERIFIED</x:v>
      </x:c>
      <x:c r="M3" s="17" t="str">
        <x:v>True</x:v>
      </x:c>
      <x:c r="N3" s="17" t="str">
        <x:v>SCA3.zip</x:v>
      </x:c>
      <x:c r="O3" s="17" t="str">
        <x:v>model-blind review of capacitance_qc_all_cells.pdf plus frozen v1 table; robust_cv threshold 0.30</x:v>
      </x:c>
      <x:c r="P3" s="17" t="str">
        <x:v>2026-08-04</x:v>
      </x:c>
      <x:c r="Q3" s="17" t="str">
        <x:v>Codex_assisted_QC_under_PI_freeze_instruction</x:v>
      </x:c>
      <x:c r="R3" s="17" t="str">
        <x:v>20 ms primary; 10/50 ms mandatory sensitivity. Frozen-v1 automatic flag: pass.</x:v>
      </x:c>
    </x:row>
    <x:row r="4">
      <x:c r="A4" s="17" t="str">
        <x:v>SCA3_03_CC_CAPA</x:v>
      </x:c>
      <x:c r="B4" s="17" t="str">
        <x:v>SCA3_03</x:v>
      </x:c>
      <x:c r="C4" s="17" t="str">
        <x:v>NA_NOT_RECOVERABLE</x:v>
      </x:c>
      <x:c r="D4" s="17" t="str">
        <x:v>SCA3</x:v>
      </x:c>
      <x:c r="E4" s="17" t="str">
        <x:v>SCA3/cc_03.abf</x:v>
      </x:c>
      <x:c r="F4" s="17" t="str">
        <x:v>SCA3/capa_03.abf</x:v>
      </x:c>
      <x:c r="G4" s="17" t="str">
        <x:v>PASS</x:v>
      </x:c>
      <x:c r="H4" s="17" t="str">
        <x:v>PASS</x:v>
      </x:c>
      <x:c r="I4" s="17"/>
      <x:c r="J4" s="17" t="str">
        <x:v>UNKNOWN_NOT_VERIFIED</x:v>
      </x:c>
      <x:c r="K4" s="17" t="str">
        <x:v>UNKNOWN_NOT_VERIFIED</x:v>
      </x:c>
      <x:c r="L4" s="17" t="str">
        <x:v>UNKNOWN_NOT_VERIFIED</x:v>
      </x:c>
      <x:c r="M4" s="17" t="str">
        <x:v>True</x:v>
      </x:c>
      <x:c r="N4" s="17" t="str">
        <x:v>SCA3.zip</x:v>
      </x:c>
      <x:c r="O4" s="17" t="str">
        <x:v>model-blind review of capacitance_qc_all_cells.pdf plus frozen v1 table; robust_cv threshold 0.30</x:v>
      </x:c>
      <x:c r="P4" s="17" t="str">
        <x:v>2026-08-04</x:v>
      </x:c>
      <x:c r="Q4" s="17" t="str">
        <x:v>Codex_assisted_QC_under_PI_freeze_instruction</x:v>
      </x:c>
      <x:c r="R4" s="17" t="str">
        <x:v>20 ms primary; 10/50 ms mandatory sensitivity. Frozen-v1 automatic flag: window_sensitive.</x:v>
      </x:c>
    </x:row>
    <x:row r="5">
      <x:c r="A5" s="17" t="str">
        <x:v>SCA3_04_CC_CAPA</x:v>
      </x:c>
      <x:c r="B5" s="17" t="str">
        <x:v>SCA3_04</x:v>
      </x:c>
      <x:c r="C5" s="17" t="str">
        <x:v>NA_NOT_RECOVERABLE</x:v>
      </x:c>
      <x:c r="D5" s="17" t="str">
        <x:v>SCA3</x:v>
      </x:c>
      <x:c r="E5" s="17" t="str">
        <x:v>SCA3/cc_04.abf</x:v>
      </x:c>
      <x:c r="F5" s="17" t="str">
        <x:v>SCA3/capa_04.abf</x:v>
      </x:c>
      <x:c r="G5" s="17" t="str">
        <x:v>PASS</x:v>
      </x:c>
      <x:c r="H5" s="17" t="str">
        <x:v>PASS</x:v>
      </x:c>
      <x:c r="I5" s="17"/>
      <x:c r="J5" s="17" t="str">
        <x:v>UNKNOWN_NOT_VERIFIED</x:v>
      </x:c>
      <x:c r="K5" s="17" t="str">
        <x:v>UNKNOWN_NOT_VERIFIED</x:v>
      </x:c>
      <x:c r="L5" s="17" t="str">
        <x:v>UNKNOWN_NOT_VERIFIED</x:v>
      </x:c>
      <x:c r="M5" s="17" t="str">
        <x:v>True</x:v>
      </x:c>
      <x:c r="N5" s="17" t="str">
        <x:v>SCA3.zip</x:v>
      </x:c>
      <x:c r="O5" s="17" t="str">
        <x:v>model-blind review of capacitance_qc_all_cells.pdf plus frozen v1 table; robust_cv threshold 0.30</x:v>
      </x:c>
      <x:c r="P5" s="17" t="str">
        <x:v>2026-08-04</x:v>
      </x:c>
      <x:c r="Q5" s="17" t="str">
        <x:v>Codex_assisted_QC_under_PI_freeze_instruction</x:v>
      </x:c>
      <x:c r="R5" s="17" t="str">
        <x:v>20 ms primary; 10/50 ms mandatory sensitivity. Frozen-v1 automatic flag: pass.</x:v>
      </x:c>
    </x:row>
    <x:row r="6">
      <x:c r="A6" s="17" t="str">
        <x:v>SCA3_05_CC_CAPA</x:v>
      </x:c>
      <x:c r="B6" s="17" t="str">
        <x:v>SCA3_05</x:v>
      </x:c>
      <x:c r="C6" s="17" t="str">
        <x:v>NA_NOT_RECOVERABLE</x:v>
      </x:c>
      <x:c r="D6" s="17" t="str">
        <x:v>SCA3</x:v>
      </x:c>
      <x:c r="E6" s="17" t="str">
        <x:v>SCA3/cc_05.abf</x:v>
      </x:c>
      <x:c r="F6" s="17" t="str">
        <x:v>SCA3/capa_05.abf</x:v>
      </x:c>
      <x:c r="G6" s="17" t="str">
        <x:v>PASS</x:v>
      </x:c>
      <x:c r="H6" s="17" t="str">
        <x:v>PASS</x:v>
      </x:c>
      <x:c r="I6" s="17"/>
      <x:c r="J6" s="17" t="str">
        <x:v>UNKNOWN_NOT_VERIFIED</x:v>
      </x:c>
      <x:c r="K6" s="17" t="str">
        <x:v>UNKNOWN_NOT_VERIFIED</x:v>
      </x:c>
      <x:c r="L6" s="17" t="str">
        <x:v>UNKNOWN_NOT_VERIFIED</x:v>
      </x:c>
      <x:c r="M6" s="17" t="str">
        <x:v>True</x:v>
      </x:c>
      <x:c r="N6" s="17" t="str">
        <x:v>SCA3.zip</x:v>
      </x:c>
      <x:c r="O6" s="17" t="str">
        <x:v>model-blind review of capacitance_qc_all_cells.pdf plus frozen v1 table; robust_cv threshold 0.30</x:v>
      </x:c>
      <x:c r="P6" s="17" t="str">
        <x:v>2026-08-04</x:v>
      </x:c>
      <x:c r="Q6" s="17" t="str">
        <x:v>Codex_assisted_QC_under_PI_freeze_instruction</x:v>
      </x:c>
      <x:c r="R6" s="17" t="str">
        <x:v>20 ms primary; 10/50 ms mandatory sensitivity. Frozen-v1 automatic flag: pass.</x:v>
      </x:c>
    </x:row>
    <x:row r="7">
      <x:c r="A7" s="17" t="str">
        <x:v>SCA3_06_CC_CAPA</x:v>
      </x:c>
      <x:c r="B7" s="17" t="str">
        <x:v>SCA3_06</x:v>
      </x:c>
      <x:c r="C7" s="17" t="str">
        <x:v>NA_NOT_RECOVERABLE</x:v>
      </x:c>
      <x:c r="D7" s="17" t="str">
        <x:v>SCA3</x:v>
      </x:c>
      <x:c r="E7" s="17" t="str">
        <x:v>SCA3/cc_06.abf</x:v>
      </x:c>
      <x:c r="F7" s="17" t="str">
        <x:v>SCA3/capa_06.abf</x:v>
      </x:c>
      <x:c r="G7" s="17" t="str">
        <x:v>PASS</x:v>
      </x:c>
      <x:c r="H7" s="17" t="str">
        <x:v>PASS</x:v>
      </x:c>
      <x:c r="I7" s="17"/>
      <x:c r="J7" s="17" t="str">
        <x:v>UNKNOWN_NOT_VERIFIED</x:v>
      </x:c>
      <x:c r="K7" s="17" t="str">
        <x:v>UNKNOWN_NOT_VERIFIED</x:v>
      </x:c>
      <x:c r="L7" s="17" t="str">
        <x:v>UNKNOWN_NOT_VERIFIED</x:v>
      </x:c>
      <x:c r="M7" s="17" t="str">
        <x:v>True</x:v>
      </x:c>
      <x:c r="N7" s="17" t="str">
        <x:v>SCA3.zip</x:v>
      </x:c>
      <x:c r="O7" s="17" t="str">
        <x:v>model-blind review of capacitance_qc_all_cells.pdf plus frozen v1 table; robust_cv threshold 0.30</x:v>
      </x:c>
      <x:c r="P7" s="17" t="str">
        <x:v>2026-08-04</x:v>
      </x:c>
      <x:c r="Q7" s="17" t="str">
        <x:v>Codex_assisted_QC_under_PI_freeze_instruction</x:v>
      </x:c>
      <x:c r="R7" s="17" t="str">
        <x:v>20 ms primary; 10/50 ms mandatory sensitivity. Frozen-v1 automatic flag: pass.</x:v>
      </x:c>
    </x:row>
    <x:row r="8">
      <x:c r="A8" s="17" t="str">
        <x:v>SCA3_07_CC_CAPA</x:v>
      </x:c>
      <x:c r="B8" s="17" t="str">
        <x:v>SCA3_07</x:v>
      </x:c>
      <x:c r="C8" s="17" t="str">
        <x:v>NA_NOT_RECOVERABLE</x:v>
      </x:c>
      <x:c r="D8" s="17" t="str">
        <x:v>SCA3</x:v>
      </x:c>
      <x:c r="E8" s="17" t="str">
        <x:v>SCA3/cc_07.abf</x:v>
      </x:c>
      <x:c r="F8" s="17" t="str">
        <x:v>SCA3/capa_07.abf</x:v>
      </x:c>
      <x:c r="G8" s="17" t="str">
        <x:v>PASS</x:v>
      </x:c>
      <x:c r="H8" s="17" t="str">
        <x:v>PASS</x:v>
      </x:c>
      <x:c r="I8" s="17"/>
      <x:c r="J8" s="17" t="str">
        <x:v>UNKNOWN_NOT_VERIFIED</x:v>
      </x:c>
      <x:c r="K8" s="17" t="str">
        <x:v>UNKNOWN_NOT_VERIFIED</x:v>
      </x:c>
      <x:c r="L8" s="17" t="str">
        <x:v>UNKNOWN_NOT_VERIFIED</x:v>
      </x:c>
      <x:c r="M8" s="17" t="str">
        <x:v>True</x:v>
      </x:c>
      <x:c r="N8" s="17" t="str">
        <x:v>SCA3.zip</x:v>
      </x:c>
      <x:c r="O8" s="17" t="str">
        <x:v>model-blind review of capacitance_qc_all_cells.pdf plus frozen v1 table; robust_cv threshold 0.30</x:v>
      </x:c>
      <x:c r="P8" s="17" t="str">
        <x:v>2026-08-04</x:v>
      </x:c>
      <x:c r="Q8" s="17" t="str">
        <x:v>Codex_assisted_QC_under_PI_freeze_instruction</x:v>
      </x:c>
      <x:c r="R8" s="17" t="str">
        <x:v>20 ms primary; 10/50 ms mandatory sensitivity. Frozen-v1 automatic flag: pass.</x:v>
      </x:c>
    </x:row>
    <x:row r="9">
      <x:c r="A9" s="17" t="str">
        <x:v>SCA3_08_CC_CAPA</x:v>
      </x:c>
      <x:c r="B9" s="17" t="str">
        <x:v>SCA3_08</x:v>
      </x:c>
      <x:c r="C9" s="17" t="str">
        <x:v>NA_NOT_RECOVERABLE</x:v>
      </x:c>
      <x:c r="D9" s="17" t="str">
        <x:v>SCA3</x:v>
      </x:c>
      <x:c r="E9" s="17" t="str">
        <x:v>SCA3/cc_08.abf</x:v>
      </x:c>
      <x:c r="F9" s="17" t="str">
        <x:v>SCA3/capa_08.abf</x:v>
      </x:c>
      <x:c r="G9" s="17" t="str">
        <x:v>PASS</x:v>
      </x:c>
      <x:c r="H9" s="17" t="str">
        <x:v>PASS</x:v>
      </x:c>
      <x:c r="I9" s="17"/>
      <x:c r="J9" s="17" t="str">
        <x:v>UNKNOWN_NOT_VERIFIED</x:v>
      </x:c>
      <x:c r="K9" s="17" t="str">
        <x:v>UNKNOWN_NOT_VERIFIED</x:v>
      </x:c>
      <x:c r="L9" s="17" t="str">
        <x:v>UNKNOWN_NOT_VERIFIED</x:v>
      </x:c>
      <x:c r="M9" s="17" t="str">
        <x:v>True</x:v>
      </x:c>
      <x:c r="N9" s="17" t="str">
        <x:v>SCA3.zip</x:v>
      </x:c>
      <x:c r="O9" s="17" t="str">
        <x:v>model-blind review of capacitance_qc_all_cells.pdf plus frozen v1 table; robust_cv threshold 0.30</x:v>
      </x:c>
      <x:c r="P9" s="17" t="str">
        <x:v>2026-08-04</x:v>
      </x:c>
      <x:c r="Q9" s="17" t="str">
        <x:v>Codex_assisted_QC_under_PI_freeze_instruction</x:v>
      </x:c>
      <x:c r="R9" s="17" t="str">
        <x:v>20 ms primary; 10/50 ms mandatory sensitivity. Frozen-v1 automatic flag: pass.</x:v>
      </x:c>
    </x:row>
    <x:row r="10">
      <x:c r="A10" s="17" t="str">
        <x:v>SCA3_09_CC_CAPA</x:v>
      </x:c>
      <x:c r="B10" s="17" t="str">
        <x:v>SCA3_09</x:v>
      </x:c>
      <x:c r="C10" s="17" t="str">
        <x:v>NA_NOT_RECOVERABLE</x:v>
      </x:c>
      <x:c r="D10" s="17" t="str">
        <x:v>SCA3</x:v>
      </x:c>
      <x:c r="E10" s="17" t="str">
        <x:v>SCA3/cc_09.abf</x:v>
      </x:c>
      <x:c r="F10" s="17" t="str">
        <x:v>SCA3/capa_09.abf</x:v>
      </x:c>
      <x:c r="G10" s="17" t="str">
        <x:v>PASS</x:v>
      </x:c>
      <x:c r="H10" s="17" t="str">
        <x:v>PASS</x:v>
      </x:c>
      <x:c r="I10" s="17"/>
      <x:c r="J10" s="17" t="str">
        <x:v>UNKNOWN_NOT_VERIFIED</x:v>
      </x:c>
      <x:c r="K10" s="17" t="str">
        <x:v>UNKNOWN_NOT_VERIFIED</x:v>
      </x:c>
      <x:c r="L10" s="17" t="str">
        <x:v>UNKNOWN_NOT_VERIFIED</x:v>
      </x:c>
      <x:c r="M10" s="17" t="str">
        <x:v>True</x:v>
      </x:c>
      <x:c r="N10" s="17" t="str">
        <x:v>SCA3.zip</x:v>
      </x:c>
      <x:c r="O10" s="17" t="str">
        <x:v>model-blind review of capacitance_qc_all_cells.pdf plus frozen v1 table; robust_cv threshold 0.30</x:v>
      </x:c>
      <x:c r="P10" s="17" t="str">
        <x:v>2026-08-04</x:v>
      </x:c>
      <x:c r="Q10" s="17" t="str">
        <x:v>Codex_assisted_QC_under_PI_freeze_instruction</x:v>
      </x:c>
      <x:c r="R10" s="17" t="str">
        <x:v>20 ms primary; 10/50 ms mandatory sensitivity. Frozen-v1 automatic flag: pass.</x:v>
      </x:c>
    </x:row>
    <x:row r="11">
      <x:c r="A11" s="17" t="str">
        <x:v>WT_01_CC_CAPA</x:v>
      </x:c>
      <x:c r="B11" s="17" t="str">
        <x:v>WT_01</x:v>
      </x:c>
      <x:c r="C11" s="17" t="str">
        <x:v>NA_NOT_RECOVERABLE</x:v>
      </x:c>
      <x:c r="D11" s="17" t="str">
        <x:v>WT</x:v>
      </x:c>
      <x:c r="E11" s="17" t="str">
        <x:v>WT/cc_01.abf</x:v>
      </x:c>
      <x:c r="F11" s="17" t="str">
        <x:v>WT/capa_01.abf</x:v>
      </x:c>
      <x:c r="G11" s="17" t="str">
        <x:v>PASS</x:v>
      </x:c>
      <x:c r="H11" s="17" t="str">
        <x:v>PASS</x:v>
      </x:c>
      <x:c r="I11" s="17"/>
      <x:c r="J11" s="17" t="str">
        <x:v>UNKNOWN_NOT_VERIFIED</x:v>
      </x:c>
      <x:c r="K11" s="17" t="str">
        <x:v>UNKNOWN_NOT_VERIFIED</x:v>
      </x:c>
      <x:c r="L11" s="17" t="str">
        <x:v>UNKNOWN_NOT_VERIFIED</x:v>
      </x:c>
      <x:c r="M11" s="17" t="str">
        <x:v>True</x:v>
      </x:c>
      <x:c r="N11" s="17" t="str">
        <x:v>WT.zip</x:v>
      </x:c>
      <x:c r="O11" s="17" t="str">
        <x:v>model-blind review of capacitance_qc_all_cells.pdf plus frozen v1 table; robust_cv threshold 0.30</x:v>
      </x:c>
      <x:c r="P11" s="17" t="str">
        <x:v>2026-08-04</x:v>
      </x:c>
      <x:c r="Q11" s="17" t="str">
        <x:v>Codex_assisted_QC_under_PI_freeze_instruction</x:v>
      </x:c>
      <x:c r="R11" s="17" t="str">
        <x:v>20 ms primary; 10/50 ms mandatory sensitivity. Frozen-v1 automatic flag: pass.</x:v>
      </x:c>
    </x:row>
    <x:row r="12">
      <x:c r="A12" s="17" t="str">
        <x:v>WT_02_CC_CAPA</x:v>
      </x:c>
      <x:c r="B12" s="17" t="str">
        <x:v>WT_02</x:v>
      </x:c>
      <x:c r="C12" s="17" t="str">
        <x:v>NA_NOT_RECOVERABLE</x:v>
      </x:c>
      <x:c r="D12" s="17" t="str">
        <x:v>WT</x:v>
      </x:c>
      <x:c r="E12" s="17" t="str">
        <x:v>WT/cc_02.abf</x:v>
      </x:c>
      <x:c r="F12" s="17" t="str">
        <x:v>WT/capa_02.abf</x:v>
      </x:c>
      <x:c r="G12" s="17" t="str">
        <x:v>PASS</x:v>
      </x:c>
      <x:c r="H12" s="17" t="str">
        <x:v>PASS</x:v>
      </x:c>
      <x:c r="I12" s="17"/>
      <x:c r="J12" s="17" t="str">
        <x:v>UNKNOWN_NOT_VERIFIED</x:v>
      </x:c>
      <x:c r="K12" s="17" t="str">
        <x:v>UNKNOWN_NOT_VERIFIED</x:v>
      </x:c>
      <x:c r="L12" s="17" t="str">
        <x:v>UNKNOWN_NOT_VERIFIED</x:v>
      </x:c>
      <x:c r="M12" s="17" t="str">
        <x:v>True</x:v>
      </x:c>
      <x:c r="N12" s="17" t="str">
        <x:v>WT.zip</x:v>
      </x:c>
      <x:c r="O12" s="17" t="str">
        <x:v>model-blind review of capacitance_qc_all_cells.pdf plus frozen v1 table; robust_cv threshold 0.30</x:v>
      </x:c>
      <x:c r="P12" s="17" t="str">
        <x:v>2026-08-04</x:v>
      </x:c>
      <x:c r="Q12" s="17" t="str">
        <x:v>Codex_assisted_QC_under_PI_freeze_instruction</x:v>
      </x:c>
      <x:c r="R12" s="17" t="str">
        <x:v>20 ms primary; 10/50 ms mandatory sensitivity. Frozen-v1 automatic flag: window_sensitive.</x:v>
      </x:c>
    </x:row>
    <x:row r="13">
      <x:c r="A13" s="17" t="str">
        <x:v>WT_03_CC_CAPA</x:v>
      </x:c>
      <x:c r="B13" s="17" t="str">
        <x:v>WT_03</x:v>
      </x:c>
      <x:c r="C13" s="17" t="str">
        <x:v>NA_NOT_RECOVERABLE</x:v>
      </x:c>
      <x:c r="D13" s="17" t="str">
        <x:v>WT</x:v>
      </x:c>
      <x:c r="E13" s="17" t="str">
        <x:v>WT/cc_03.abf</x:v>
      </x:c>
      <x:c r="F13" s="17" t="str">
        <x:v>WT/capa_03.abf</x:v>
      </x:c>
      <x:c r="G13" s="17" t="str">
        <x:v>PASS</x:v>
      </x:c>
      <x:c r="H13" s="17" t="str">
        <x:v>PASS</x:v>
      </x:c>
      <x:c r="I13" s="17"/>
      <x:c r="J13" s="17" t="str">
        <x:v>UNKNOWN_NOT_VERIFIED</x:v>
      </x:c>
      <x:c r="K13" s="17" t="str">
        <x:v>UNKNOWN_NOT_VERIFIED</x:v>
      </x:c>
      <x:c r="L13" s="17" t="str">
        <x:v>UNKNOWN_NOT_VERIFIED</x:v>
      </x:c>
      <x:c r="M13" s="17" t="str">
        <x:v>True</x:v>
      </x:c>
      <x:c r="N13" s="17" t="str">
        <x:v>WT.zip</x:v>
      </x:c>
      <x:c r="O13" s="17" t="str">
        <x:v>model-blind review of capacitance_qc_all_cells.pdf plus frozen v1 table; robust_cv threshold 0.30</x:v>
      </x:c>
      <x:c r="P13" s="17" t="str">
        <x:v>2026-08-04</x:v>
      </x:c>
      <x:c r="Q13" s="17" t="str">
        <x:v>Codex_assisted_QC_under_PI_freeze_instruction</x:v>
      </x:c>
      <x:c r="R13" s="17" t="str">
        <x:v>20 ms primary; 10/50 ms mandatory sensitivity. Frozen-v1 automatic flag: window_sensitive.</x:v>
      </x:c>
    </x:row>
    <x:row r="14">
      <x:c r="A14" s="17" t="str">
        <x:v>WT_04_CC_CAPA</x:v>
      </x:c>
      <x:c r="B14" s="17" t="str">
        <x:v>WT_04</x:v>
      </x:c>
      <x:c r="C14" s="17" t="str">
        <x:v>NA_NOT_RECOVERABLE</x:v>
      </x:c>
      <x:c r="D14" s="17" t="str">
        <x:v>WT</x:v>
      </x:c>
      <x:c r="E14" s="17" t="str">
        <x:v>WT/cc_04.abf</x:v>
      </x:c>
      <x:c r="F14" s="17" t="str">
        <x:v>WT/capa_04.abf</x:v>
      </x:c>
      <x:c r="G14" s="17" t="str">
        <x:v>PASS</x:v>
      </x:c>
      <x:c r="H14" s="17" t="str">
        <x:v>PASS</x:v>
      </x:c>
      <x:c r="I14" s="17"/>
      <x:c r="J14" s="17" t="str">
        <x:v>UNKNOWN_NOT_VERIFIED</x:v>
      </x:c>
      <x:c r="K14" s="17" t="str">
        <x:v>UNKNOWN_NOT_VERIFIED</x:v>
      </x:c>
      <x:c r="L14" s="17" t="str">
        <x:v>UNKNOWN_NOT_VERIFIED</x:v>
      </x:c>
      <x:c r="M14" s="17" t="str">
        <x:v>True</x:v>
      </x:c>
      <x:c r="N14" s="17" t="str">
        <x:v>WT.zip</x:v>
      </x:c>
      <x:c r="O14" s="17" t="str">
        <x:v>model-blind review of capacitance_qc_all_cells.pdf plus frozen v1 table; robust_cv threshold 0.30</x:v>
      </x:c>
      <x:c r="P14" s="17" t="str">
        <x:v>2026-08-04</x:v>
      </x:c>
      <x:c r="Q14" s="17" t="str">
        <x:v>Codex_assisted_QC_under_PI_freeze_instruction</x:v>
      </x:c>
      <x:c r="R14" s="17" t="str">
        <x:v>20 ms primary; 10/50 ms mandatory sensitivity. Frozen-v1 automatic flag: window_sensitive.</x:v>
      </x:c>
    </x:row>
    <x:row r="15">
      <x:c r="A15" s="17" t="str">
        <x:v>WT_05_CC_CAPA</x:v>
      </x:c>
      <x:c r="B15" s="17" t="str">
        <x:v>WT_05</x:v>
      </x:c>
      <x:c r="C15" s="17" t="str">
        <x:v>NA_NOT_RECOVERABLE</x:v>
      </x:c>
      <x:c r="D15" s="17" t="str">
        <x:v>WT</x:v>
      </x:c>
      <x:c r="E15" s="17" t="str">
        <x:v>WT/cc_05.abf</x:v>
      </x:c>
      <x:c r="F15" s="17" t="str">
        <x:v>WT/capa_05.abf</x:v>
      </x:c>
      <x:c r="G15" s="17" t="str">
        <x:v>PASS</x:v>
      </x:c>
      <x:c r="H15" s="17" t="str">
        <x:v>PASS</x:v>
      </x:c>
      <x:c r="I15" s="17"/>
      <x:c r="J15" s="17" t="str">
        <x:v>UNKNOWN_NOT_VERIFIED</x:v>
      </x:c>
      <x:c r="K15" s="17" t="str">
        <x:v>UNKNOWN_NOT_VERIFIED</x:v>
      </x:c>
      <x:c r="L15" s="17" t="str">
        <x:v>UNKNOWN_NOT_VERIFIED</x:v>
      </x:c>
      <x:c r="M15" s="17" t="str">
        <x:v>True</x:v>
      </x:c>
      <x:c r="N15" s="17" t="str">
        <x:v>WT.zip</x:v>
      </x:c>
      <x:c r="O15" s="17" t="str">
        <x:v>model-blind review of capacitance_qc_all_cells.pdf plus frozen v1 table; robust_cv threshold 0.30</x:v>
      </x:c>
      <x:c r="P15" s="17" t="str">
        <x:v>2026-08-04</x:v>
      </x:c>
      <x:c r="Q15" s="17" t="str">
        <x:v>Codex_assisted_QC_under_PI_freeze_instruction</x:v>
      </x:c>
      <x:c r="R15" s="17" t="str">
        <x:v>20 ms primary; 10/50 ms mandatory sensitivity. Frozen-v1 automatic flag: pass.</x:v>
      </x:c>
    </x:row>
    <x:row r="16">
      <x:c r="A16" s="17" t="str">
        <x:v>WT_06_CC_CAPA</x:v>
      </x:c>
      <x:c r="B16" s="17" t="str">
        <x:v>WT_06</x:v>
      </x:c>
      <x:c r="C16" s="17" t="str">
        <x:v>NA_NOT_RECOVERABLE</x:v>
      </x:c>
      <x:c r="D16" s="17" t="str">
        <x:v>WT</x:v>
      </x:c>
      <x:c r="E16" s="17" t="str">
        <x:v>WT/cc_06.abf</x:v>
      </x:c>
      <x:c r="F16" s="17" t="str">
        <x:v>WT/capa_06.abf</x:v>
      </x:c>
      <x:c r="G16" s="17" t="str">
        <x:v>PASS</x:v>
      </x:c>
      <x:c r="H16" s="17" t="str">
        <x:v>PASS</x:v>
      </x:c>
      <x:c r="I16" s="17"/>
      <x:c r="J16" s="17" t="str">
        <x:v>UNKNOWN_NOT_VERIFIED</x:v>
      </x:c>
      <x:c r="K16" s="17" t="str">
        <x:v>UNKNOWN_NOT_VERIFIED</x:v>
      </x:c>
      <x:c r="L16" s="17" t="str">
        <x:v>UNKNOWN_NOT_VERIFIED</x:v>
      </x:c>
      <x:c r="M16" s="17" t="str">
        <x:v>True</x:v>
      </x:c>
      <x:c r="N16" s="17" t="str">
        <x:v>WT.zip</x:v>
      </x:c>
      <x:c r="O16" s="17" t="str">
        <x:v>model-blind review of capacitance_qc_all_cells.pdf plus frozen v1 table; robust_cv threshold 0.30</x:v>
      </x:c>
      <x:c r="P16" s="17" t="str">
        <x:v>2026-08-04</x:v>
      </x:c>
      <x:c r="Q16" s="17" t="str">
        <x:v>Codex_assisted_QC_under_PI_freeze_instruction</x:v>
      </x:c>
      <x:c r="R16" s="17" t="str">
        <x:v>20 ms primary; 10/50 ms mandatory sensitivity. Frozen-v1 automatic flag: window_sensitive.</x:v>
      </x:c>
    </x:row>
    <x:row r="17">
      <x:c r="A17" s="17" t="str">
        <x:v>WT_07_CC_CAPA</x:v>
      </x:c>
      <x:c r="B17" s="17" t="str">
        <x:v>WT_07</x:v>
      </x:c>
      <x:c r="C17" s="17" t="str">
        <x:v>NA_NOT_RECOVERABLE</x:v>
      </x:c>
      <x:c r="D17" s="17" t="str">
        <x:v>WT</x:v>
      </x:c>
      <x:c r="E17" s="17" t="str">
        <x:v>WT/cc_07.abf</x:v>
      </x:c>
      <x:c r="F17" s="17" t="str">
        <x:v>WT/capa_07.abf</x:v>
      </x:c>
      <x:c r="G17" s="17" t="str">
        <x:v>PASS</x:v>
      </x:c>
      <x:c r="H17" s="17" t="str">
        <x:v>PASS</x:v>
      </x:c>
      <x:c r="I17" s="17"/>
      <x:c r="J17" s="17" t="str">
        <x:v>UNKNOWN_NOT_VERIFIED</x:v>
      </x:c>
      <x:c r="K17" s="17" t="str">
        <x:v>UNKNOWN_NOT_VERIFIED</x:v>
      </x:c>
      <x:c r="L17" s="17" t="str">
        <x:v>UNKNOWN_NOT_VERIFIED</x:v>
      </x:c>
      <x:c r="M17" s="17" t="str">
        <x:v>True</x:v>
      </x:c>
      <x:c r="N17" s="17" t="str">
        <x:v>WT.zip</x:v>
      </x:c>
      <x:c r="O17" s="17" t="str">
        <x:v>model-blind review of capacitance_qc_all_cells.pdf plus frozen v1 table; robust_cv threshold 0.30</x:v>
      </x:c>
      <x:c r="P17" s="17" t="str">
        <x:v>2026-08-04</x:v>
      </x:c>
      <x:c r="Q17" s="17" t="str">
        <x:v>Codex_assisted_QC_under_PI_freeze_instruction</x:v>
      </x:c>
      <x:c r="R17" s="17" t="str">
        <x:v>20 ms primary; 10/50 ms mandatory sensitivity. Frozen-v1 automatic flag: window_sensitive.</x:v>
      </x:c>
    </x:row>
    <x:row r="18">
      <x:c r="A18" s="17" t="str">
        <x:v>WT_08_CC_CAPA</x:v>
      </x:c>
      <x:c r="B18" s="17" t="str">
        <x:v>WT_08</x:v>
      </x:c>
      <x:c r="C18" s="17" t="str">
        <x:v>NA_NOT_RECOVERABLE</x:v>
      </x:c>
      <x:c r="D18" s="17" t="str">
        <x:v>WT</x:v>
      </x:c>
      <x:c r="E18" s="17" t="str">
        <x:v>WT/cc_08.abf</x:v>
      </x:c>
      <x:c r="F18" s="17" t="str">
        <x:v>WT/capa_08.abf</x:v>
      </x:c>
      <x:c r="G18" s="17" t="str">
        <x:v>PASS</x:v>
      </x:c>
      <x:c r="H18" s="17" t="str">
        <x:v>PASS</x:v>
      </x:c>
      <x:c r="I18" s="17"/>
      <x:c r="J18" s="17" t="str">
        <x:v>UNKNOWN_NOT_VERIFIED</x:v>
      </x:c>
      <x:c r="K18" s="17" t="str">
        <x:v>UNKNOWN_NOT_VERIFIED</x:v>
      </x:c>
      <x:c r="L18" s="17" t="str">
        <x:v>UNKNOWN_NOT_VERIFIED</x:v>
      </x:c>
      <x:c r="M18" s="17" t="str">
        <x:v>True</x:v>
      </x:c>
      <x:c r="N18" s="17" t="str">
        <x:v>WT.zip</x:v>
      </x:c>
      <x:c r="O18" s="17" t="str">
        <x:v>model-blind review of capacitance_qc_all_cells.pdf plus frozen v1 table; robust_cv threshold 0.30</x:v>
      </x:c>
      <x:c r="P18" s="17" t="str">
        <x:v>2026-08-04</x:v>
      </x:c>
      <x:c r="Q18" s="17" t="str">
        <x:v>Codex_assisted_QC_under_PI_freeze_instruction</x:v>
      </x:c>
      <x:c r="R18" s="17" t="str">
        <x:v>20 ms primary; 10/50 ms mandatory sensitivity. Frozen-v1 automatic flag: window_sensitive.</x:v>
      </x:c>
    </x:row>
    <x:row r="19">
      <x:c r="A19" s="17" t="str">
        <x:v>WT_09_CC_CAPA</x:v>
      </x:c>
      <x:c r="B19" s="17" t="str">
        <x:v>WT_09</x:v>
      </x:c>
      <x:c r="C19" s="17" t="str">
        <x:v>NA_NOT_RECOVERABLE</x:v>
      </x:c>
      <x:c r="D19" s="17" t="str">
        <x:v>WT</x:v>
      </x:c>
      <x:c r="E19" s="17" t="str">
        <x:v>WT/cc_09.abf</x:v>
      </x:c>
      <x:c r="F19" s="17" t="str">
        <x:v>WT/capa_09.abf</x:v>
      </x:c>
      <x:c r="G19" s="17" t="str">
        <x:v>PASS</x:v>
      </x:c>
      <x:c r="H19" s="17" t="str">
        <x:v>PASS</x:v>
      </x:c>
      <x:c r="I19" s="17"/>
      <x:c r="J19" s="17" t="str">
        <x:v>UNKNOWN_NOT_VERIFIED</x:v>
      </x:c>
      <x:c r="K19" s="17" t="str">
        <x:v>UNKNOWN_NOT_VERIFIED</x:v>
      </x:c>
      <x:c r="L19" s="17" t="str">
        <x:v>UNKNOWN_NOT_VERIFIED</x:v>
      </x:c>
      <x:c r="M19" s="17" t="str">
        <x:v>True</x:v>
      </x:c>
      <x:c r="N19" s="17" t="str">
        <x:v>WT.zip</x:v>
      </x:c>
      <x:c r="O19" s="17" t="str">
        <x:v>model-blind review of capacitance_qc_all_cells.pdf plus frozen v1 table; robust_cv threshold 0.30</x:v>
      </x:c>
      <x:c r="P19" s="17" t="str">
        <x:v>2026-08-04</x:v>
      </x:c>
      <x:c r="Q19" s="17" t="str">
        <x:v>Codex_assisted_QC_under_PI_freeze_instruction</x:v>
      </x:c>
      <x:c r="R19" s="17" t="str">
        <x:v>20 ms primary; 10/50 ms mandatory sensitivity. Frozen-v1 automatic flag: pass.</x:v>
      </x:c>
    </x:row>
    <x:row r="20">
      <x:c r="A20" s="17" t="str">
        <x:v>WT_10_CC_CAPA</x:v>
      </x:c>
      <x:c r="B20" s="17" t="str">
        <x:v>WT_10</x:v>
      </x:c>
      <x:c r="C20" s="17" t="str">
        <x:v>NA_NOT_RECOVERABLE</x:v>
      </x:c>
      <x:c r="D20" s="17" t="str">
        <x:v>WT</x:v>
      </x:c>
      <x:c r="E20" s="17" t="str">
        <x:v>WT/cc_10.abf</x:v>
      </x:c>
      <x:c r="F20" s="17" t="str">
        <x:v>WT/capa_10.abf</x:v>
      </x:c>
      <x:c r="G20" s="17" t="str">
        <x:v>PASS</x:v>
      </x:c>
      <x:c r="H20" s="17" t="str">
        <x:v>PASS</x:v>
      </x:c>
      <x:c r="I20" s="17"/>
      <x:c r="J20" s="17" t="str">
        <x:v>UNKNOWN_NOT_VERIFIED</x:v>
      </x:c>
      <x:c r="K20" s="17" t="str">
        <x:v>UNKNOWN_NOT_VERIFIED</x:v>
      </x:c>
      <x:c r="L20" s="17" t="str">
        <x:v>UNKNOWN_NOT_VERIFIED</x:v>
      </x:c>
      <x:c r="M20" s="17" t="str">
        <x:v>True</x:v>
      </x:c>
      <x:c r="N20" s="17" t="str">
        <x:v>WT.zip</x:v>
      </x:c>
      <x:c r="O20" s="17" t="str">
        <x:v>model-blind review of capacitance_qc_all_cells.pdf plus frozen v1 table; robust_cv threshold 0.30</x:v>
      </x:c>
      <x:c r="P20" s="17" t="str">
        <x:v>2026-08-04</x:v>
      </x:c>
      <x:c r="Q20" s="17" t="str">
        <x:v>Codex_assisted_QC_under_PI_freeze_instruction</x:v>
      </x:c>
      <x:c r="R20" s="17" t="str">
        <x:v>20 ms primary; 10/50 ms mandatory sensitivity. Frozen-v1 automatic flag: pass.</x:v>
      </x:c>
    </x:row>
    <x:row r="21">
      <x:c r="A21" s="17" t="str">
        <x:v>WT_11_CC_CAPA</x:v>
      </x:c>
      <x:c r="B21" s="17" t="str">
        <x:v>WT_11</x:v>
      </x:c>
      <x:c r="C21" s="17" t="str">
        <x:v>NA_NOT_RECOVERABLE</x:v>
      </x:c>
      <x:c r="D21" s="17" t="str">
        <x:v>WT</x:v>
      </x:c>
      <x:c r="E21" s="17" t="str">
        <x:v>WT/cc_11.abf</x:v>
      </x:c>
      <x:c r="F21" s="17" t="str">
        <x:v>WT/capa_11.abf</x:v>
      </x:c>
      <x:c r="G21" s="17" t="str">
        <x:v>PASS</x:v>
      </x:c>
      <x:c r="H21" s="17" t="str">
        <x:v>PASS</x:v>
      </x:c>
      <x:c r="I21" s="17"/>
      <x:c r="J21" s="17" t="str">
        <x:v>UNKNOWN_NOT_VERIFIED</x:v>
      </x:c>
      <x:c r="K21" s="17" t="str">
        <x:v>UNKNOWN_NOT_VERIFIED</x:v>
      </x:c>
      <x:c r="L21" s="17" t="str">
        <x:v>UNKNOWN_NOT_VERIFIED</x:v>
      </x:c>
      <x:c r="M21" s="17" t="str">
        <x:v>True</x:v>
      </x:c>
      <x:c r="N21" s="17" t="str">
        <x:v>WT.zip</x:v>
      </x:c>
      <x:c r="O21" s="17" t="str">
        <x:v>model-blind review of capacitance_qc_all_cells.pdf plus frozen v1 table; robust_cv threshold 0.30</x:v>
      </x:c>
      <x:c r="P21" s="17" t="str">
        <x:v>2026-08-04</x:v>
      </x:c>
      <x:c r="Q21" s="17" t="str">
        <x:v>Codex_assisted_QC_under_PI_freeze_instruction</x:v>
      </x:c>
      <x:c r="R21" s="17" t="str">
        <x:v>20 ms primary; 10/50 ms mandatory sensitivity. Frozen-v1 automatic flag: window_sensitive.</x:v>
      </x:c>
    </x:row>
    <x:row r="22">
      <x:c r="A22" s="17" t="str">
        <x:v>WT_12_CC_CAPA</x:v>
      </x:c>
      <x:c r="B22" s="17" t="str">
        <x:v>WT_12</x:v>
      </x:c>
      <x:c r="C22" s="17" t="str">
        <x:v>NA_NOT_RECOVERABLE</x:v>
      </x:c>
      <x:c r="D22" s="17" t="str">
        <x:v>WT</x:v>
      </x:c>
      <x:c r="E22" s="17" t="str">
        <x:v>WT/cc_12.abf</x:v>
      </x:c>
      <x:c r="F22" s="17" t="str">
        <x:v>WT/capa_12.abf</x:v>
      </x:c>
      <x:c r="G22" s="17" t="str">
        <x:v>FAIL</x:v>
      </x:c>
      <x:c r="H22" s="17" t="str">
        <x:v>FAIL</x:v>
      </x:c>
      <x:c r="I22" s="17" t="str">
        <x:v>CAPA_POOR_QUALITY</x:v>
      </x:c>
      <x:c r="J22" s="17" t="str">
        <x:v>UNKNOWN_NOT_VERIFIED</x:v>
      </x:c>
      <x:c r="K22" s="17" t="str">
        <x:v>UNKNOWN_NOT_VERIFIED</x:v>
      </x:c>
      <x:c r="L22" s="17" t="str">
        <x:v>UNKNOWN_NOT_VERIFIED</x:v>
      </x:c>
      <x:c r="M22" s="17" t="str">
        <x:v>False</x:v>
      </x:c>
      <x:c r="N22" s="17" t="str">
        <x:v>WT.zip</x:v>
      </x:c>
      <x:c r="O22" s="17" t="str">
        <x:v>model-blind review of capacitance_qc_all_cells.pdf plus frozen v1 table; robust_cv threshold 0.30</x:v>
      </x:c>
      <x:c r="P22" s="17" t="str">
        <x:v>2026-08-04</x:v>
      </x:c>
      <x:c r="Q22" s="17" t="str">
        <x:v>Codex_assisted_QC_under_PI_freeze_instruction</x:v>
      </x:c>
      <x:c r="R22" s="17" t="str">
        <x:v>20 ms primary; 10/50 ms mandatory sensitivity. Frozen-v1 automatic flag: sweep_variability_gt_0.30. Robust CV exceeded the prespecified 0.30 limit.</x:v>
      </x:c>
    </x:row>
    <x:row r="23">
      <x:c r="A23" s="17" t="str">
        <x:v>WT_13_CC_CAPA</x:v>
      </x:c>
      <x:c r="B23" s="17" t="str">
        <x:v>WT_13</x:v>
      </x:c>
      <x:c r="C23" s="17" t="str">
        <x:v>NA_NOT_RECOVERABLE</x:v>
      </x:c>
      <x:c r="D23" s="17" t="str">
        <x:v>WT</x:v>
      </x:c>
      <x:c r="E23" s="17" t="str">
        <x:v>WT/cc_13.abf</x:v>
      </x:c>
      <x:c r="F23" s="17" t="str">
        <x:v>WT/capa_13.abf</x:v>
      </x:c>
      <x:c r="G23" s="17" t="str">
        <x:v>PASS</x:v>
      </x:c>
      <x:c r="H23" s="17" t="str">
        <x:v>PASS</x:v>
      </x:c>
      <x:c r="I23" s="17"/>
      <x:c r="J23" s="17" t="str">
        <x:v>UNKNOWN_NOT_VERIFIED</x:v>
      </x:c>
      <x:c r="K23" s="17" t="str">
        <x:v>UNKNOWN_NOT_VERIFIED</x:v>
      </x:c>
      <x:c r="L23" s="17" t="str">
        <x:v>UNKNOWN_NOT_VERIFIED</x:v>
      </x:c>
      <x:c r="M23" s="17" t="str">
        <x:v>True</x:v>
      </x:c>
      <x:c r="N23" s="17" t="str">
        <x:v>WT.zip</x:v>
      </x:c>
      <x:c r="O23" s="17" t="str">
        <x:v>model-blind review of capacitance_qc_all_cells.pdf plus frozen v1 table; robust_cv threshold 0.30</x:v>
      </x:c>
      <x:c r="P23" s="17" t="str">
        <x:v>2026-08-04</x:v>
      </x:c>
      <x:c r="Q23" s="17" t="str">
        <x:v>Codex_assisted_QC_under_PI_freeze_instruction</x:v>
      </x:c>
      <x:c r="R23" s="17" t="str">
        <x:v>20 ms primary; 10/50 ms mandatory sensitivity. Frozen-v1 automatic flag: window_sensitive.</x:v>
      </x:c>
    </x:row>
    <x:row r="24">
      <x:c r="A24" s="17" t="str">
        <x:v>WT_14_CC_CAPA</x:v>
      </x:c>
      <x:c r="B24" s="17" t="str">
        <x:v>WT_14</x:v>
      </x:c>
      <x:c r="C24" s="17" t="str">
        <x:v>NA_NOT_RECOVERABLE</x:v>
      </x:c>
      <x:c r="D24" s="17" t="str">
        <x:v>WT</x:v>
      </x:c>
      <x:c r="E24" s="17" t="str">
        <x:v>WT/cc_14.abf</x:v>
      </x:c>
      <x:c r="F24" s="17" t="str">
        <x:v>WT/capa_14.abf</x:v>
      </x:c>
      <x:c r="G24" s="17" t="str">
        <x:v>PASS</x:v>
      </x:c>
      <x:c r="H24" s="17" t="str">
        <x:v>PASS</x:v>
      </x:c>
      <x:c r="I24" s="17"/>
      <x:c r="J24" s="17" t="str">
        <x:v>UNKNOWN_NOT_VERIFIED</x:v>
      </x:c>
      <x:c r="K24" s="17" t="str">
        <x:v>UNKNOWN_NOT_VERIFIED</x:v>
      </x:c>
      <x:c r="L24" s="17" t="str">
        <x:v>UNKNOWN_NOT_VERIFIED</x:v>
      </x:c>
      <x:c r="M24" s="17" t="str">
        <x:v>True</x:v>
      </x:c>
      <x:c r="N24" s="17" t="str">
        <x:v>WT.zip</x:v>
      </x:c>
      <x:c r="O24" s="17" t="str">
        <x:v>model-blind review of capacitance_qc_all_cells.pdf plus frozen v1 table; robust_cv threshold 0.30</x:v>
      </x:c>
      <x:c r="P24" s="17" t="str">
        <x:v>2026-08-04</x:v>
      </x:c>
      <x:c r="Q24" s="17" t="str">
        <x:v>Codex_assisted_QC_under_PI_freeze_instruction</x:v>
      </x:c>
      <x:c r="R24" s="17" t="str">
        <x:v>20 ms primary; 10/50 ms mandatory sensitivity. Frozen-v1 automatic flag: window_sensitive.</x:v>
      </x:c>
    </x:row>
    <x:row r="25">
      <x:c r="A25" s="17" t="str">
        <x:v>WT_15_CC_CAPA</x:v>
      </x:c>
      <x:c r="B25" s="17" t="str">
        <x:v>WT_15</x:v>
      </x:c>
      <x:c r="C25" s="17" t="str">
        <x:v>NA_NOT_RECOVERABLE</x:v>
      </x:c>
      <x:c r="D25" s="17" t="str">
        <x:v>WT</x:v>
      </x:c>
      <x:c r="E25" s="17" t="str">
        <x:v>WT/cc_15.abf</x:v>
      </x:c>
      <x:c r="F25" s="17" t="str">
        <x:v>WT/capa_15.abf</x:v>
      </x:c>
      <x:c r="G25" s="17" t="str">
        <x:v>PASS</x:v>
      </x:c>
      <x:c r="H25" s="17" t="str">
        <x:v>PASS</x:v>
      </x:c>
      <x:c r="I25" s="17"/>
      <x:c r="J25" s="17" t="str">
        <x:v>UNKNOWN_NOT_VERIFIED</x:v>
      </x:c>
      <x:c r="K25" s="17" t="str">
        <x:v>UNKNOWN_NOT_VERIFIED</x:v>
      </x:c>
      <x:c r="L25" s="17" t="str">
        <x:v>UNKNOWN_NOT_VERIFIED</x:v>
      </x:c>
      <x:c r="M25" s="17" t="str">
        <x:v>True</x:v>
      </x:c>
      <x:c r="N25" s="17" t="str">
        <x:v>WT.zip</x:v>
      </x:c>
      <x:c r="O25" s="17" t="str">
        <x:v>model-blind review of capacitance_qc_all_cells.pdf plus frozen v1 table; robust_cv threshold 0.30</x:v>
      </x:c>
      <x:c r="P25" s="17" t="str">
        <x:v>2026-08-04</x:v>
      </x:c>
      <x:c r="Q25" s="17" t="str">
        <x:v>Codex_assisted_QC_under_PI_freeze_instruction</x:v>
      </x:c>
      <x:c r="R25" s="17" t="str">
        <x:v>20 ms primary; 10/50 ms mandatory sensitivity. Frozen-v1 automatic flag: window_sensitive.</x:v>
      </x:c>
    </x:row>
    <x:row r="26">
      <x:c r="A26" s="18" t="str">
        <x:v>WT_16_CC_CAPA</x:v>
      </x:c>
      <x:c r="B26" s="18" t="str">
        <x:v>WT_16</x:v>
      </x:c>
      <x:c r="C26" s="18" t="str">
        <x:v>NA_NOT_RECOVERABLE</x:v>
      </x:c>
      <x:c r="D26" s="18" t="str">
        <x:v>WT</x:v>
      </x:c>
      <x:c r="E26" s="18" t="str">
        <x:v>WT/cc_16.abf</x:v>
      </x:c>
      <x:c r="F26" s="18" t="str">
        <x:v>WT/capa_16.abf</x:v>
      </x:c>
      <x:c r="G26" s="18" t="str">
        <x:v>PASS</x:v>
      </x:c>
      <x:c r="H26" s="18" t="str">
        <x:v>PASS</x:v>
      </x:c>
      <x:c r="I26" s="18"/>
      <x:c r="J26" s="18" t="str">
        <x:v>UNKNOWN_NOT_VERIFIED</x:v>
      </x:c>
      <x:c r="K26" s="18" t="str">
        <x:v>UNKNOWN_NOT_VERIFIED</x:v>
      </x:c>
      <x:c r="L26" s="18" t="str">
        <x:v>UNKNOWN_NOT_VERIFIED</x:v>
      </x:c>
      <x:c r="M26" s="18" t="str">
        <x:v>True</x:v>
      </x:c>
      <x:c r="N26" s="18" t="str">
        <x:v>WT.zip</x:v>
      </x:c>
      <x:c r="O26" s="18" t="str">
        <x:v>model-blind review of capacitance_qc_all_cells.pdf plus frozen v1 table; robust_cv threshold 0.30</x:v>
      </x:c>
      <x:c r="P26" s="18" t="str">
        <x:v>2026-08-04</x:v>
      </x:c>
      <x:c r="Q26" s="18" t="str">
        <x:v>Codex_assisted_QC_under_PI_freeze_instruction</x:v>
      </x:c>
      <x:c r="R26" s="18" t="str">
        <x:v>20 ms primary; 10/50 ms mandatory sensitivity. Frozen-v1 automatic flag: window_sensitive.</x:v>
      </x:c>
    </x:row>
  </x:sheetData>
  <x:pageMargins left="0.7" right="0.7" top="0.75" bottom="0.75" header="0.3" footer="0.3"/>
  <x:tableParts count="1">
    <x:tablePart xmlns:r="http://schemas.openxmlformats.org/officeDocument/2006/relationships" r:id="Rada35591aae04c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10000133514404" hidden="0" customWidth="1"/>
    <x:col min="2" max="2" width="7.440000057220459" hidden="0" customWidth="1"/>
    <x:col min="3" max="3" width="12.890000343322754" hidden="0" customWidth="1"/>
    <x:col min="4" max="4" width="16.440000534057617" hidden="0" customWidth="1"/>
    <x:col min="5" max="5" width="24.110000610351562" hidden="0" customWidth="1"/>
    <x:col min="6" max="6" width="12.670000076293945" hidden="0" customWidth="1"/>
    <x:col min="7" max="7" width="17" hidden="0" customWidth="1"/>
    <x:col min="8" max="8" width="18.559999465942383" hidden="0" customWidth="1"/>
    <x:col min="9" max="9" width="17.780000686645508" hidden="0" customWidth="1"/>
    <x:col min="10" max="10" width="17.780000686645508" hidden="0" customWidth="1"/>
    <x:col min="11" max="11" width="17.780000686645508" hidden="0" customWidth="1"/>
    <x:col min="12" max="12" width="19.219999313354492" hidden="0" customWidth="1"/>
    <x:col min="13" max="13" width="36.66999816894531" hidden="0" customWidth="1"/>
    <x:col min="14" max="14" width="12.670000076293945" hidden="0" customWidth="1"/>
    <x:col min="15" max="15" width="8.5600004196167" hidden="0" customWidth="1"/>
    <x:col min="16" max="16" width="18.559999465942383" hidden="0" customWidth="1"/>
    <x:col min="17" max="17" width="36.66999816894531" hidden="0" customWidth="1"/>
    <x:col min="18" max="18" width="11.329999923706055" hidden="0" customWidth="1"/>
    <x:col min="19" max="19" width="27.219999313354492" hidden="0" customWidth="1"/>
  </x:cols>
  <x:sheetData>
    <x:row r="1">
      <x:c r="A1" s="9" t="str">
        <x:v>group</x:v>
      </x:c>
      <x:c r="B1" s="10" t="str">
        <x:v>cell_id</x:v>
      </x:c>
      <x:c r="C1" s="10" t="str">
        <x:v>n_capa_sweeps</x:v>
      </x:c>
      <x:c r="D1" s="10" t="str">
        <x:v>capacitance_raw_pF</x:v>
      </x:c>
      <x:c r="E1" s="10" t="str">
        <x:v>capacitance_correction_factor</x:v>
      </x:c>
      <x:c r="F1" s="10" t="str">
        <x:v>capacitance_pF</x:v>
      </x:c>
      <x:c r="G1" s="10" t="str">
        <x:v>capacitance_mad_pF</x:v>
      </x:c>
      <x:c r="H1" s="10" t="str">
        <x:v>capacitance_robust_cv</x:v>
      </x:c>
      <x:c r="I1" s="10" t="str">
        <x:v>capacitance_10ms_pF</x:v>
      </x:c>
      <x:c r="J1" s="10" t="str">
        <x:v>capacitance_20ms_pF</x:v>
      </x:c>
      <x:c r="K1" s="10" t="str">
        <x:v>capacitance_50ms_pF</x:v>
      </x:c>
      <x:c r="L1" s="10" t="str">
        <x:v>capacitance_qc_flag</x:v>
      </x:c>
      <x:c r="M1" s="10" t="str">
        <x:v>automatic_flag_resolution</x:v>
      </x:c>
      <x:c r="N1" s="10" t="str">
        <x:v>capacitance_qc</x:v>
      </x:c>
      <x:c r="O1" s="10" t="str">
        <x:v>overall_qc</x:v>
      </x:c>
      <x:c r="P1" s="10" t="str">
        <x:v>exclusion_reason</x:v>
      </x:c>
      <x:c r="Q1" s="10" t="str">
        <x:v>decision_source</x:v>
      </x:c>
      <x:c r="R1" s="10" t="str">
        <x:v>decision_date</x:v>
      </x:c>
      <x:c r="S1" s="11" t="str">
        <x:v>reviewer</x:v>
      </x:c>
    </x:row>
    <x:row r="2">
      <x:c r="A2" s="16" t="str">
        <x:v>WT</x:v>
      </x:c>
      <x:c r="B2" s="16" t="str">
        <x:v>WT_01</x:v>
      </x:c>
      <x:c r="C2" s="16" t="n">
        <x:v>7</x:v>
      </x:c>
      <x:c r="D2" s="40" t="n">
        <x:v>110.83996913580246</x:v>
      </x:c>
      <x:c r="E2" s="40" t="n">
        <x:v>5.18</x:v>
      </x:c>
      <x:c r="F2" s="40" t="n">
        <x:v>574.1510401234567</x:v>
      </x:c>
      <x:c r="G2" s="40" t="n">
        <x:v>12.421608024691524</x:v>
      </x:c>
      <x:c r="H2" s="40" t="n">
        <x:v>0.0320756643642893</x:v>
      </x:c>
      <x:c r="I2" s="40" t="n">
        <x:v>428.0510586419753</x:v>
      </x:c>
      <x:c r="J2" s="40" t="n">
        <x:v>574.1510401234567</x:v>
      </x:c>
      <x:c r="K2" s="40" t="n">
        <x:v>621.5728209876543</x:v>
      </x:c>
      <x:c r="L2" s="16" t="str">
        <x:v>pass</x:v>
      </x:c>
      <x:c r="M2" s="16" t="str">
        <x:v>NO_AUTOMATIC_FLAG</x:v>
      </x:c>
      <x:c r="N2" s="16" t="str">
        <x:v>PASS</x:v>
      </x:c>
      <x:c r="O2" s="16" t="str">
        <x:v>PASS</x:v>
      </x:c>
      <x:c r="P2" s="16"/>
      <x:c r="Q2" s="16" t="str">
        <x:v>model-blind review of capacitance_qc_all_cells.pdf plus frozen v1 table; robust_cv threshold 0.30</x:v>
      </x:c>
      <x:c r="R2" s="16" t="str">
        <x:v>2026-08-04</x:v>
      </x:c>
      <x:c r="S2" s="16" t="str">
        <x:v>Codex_assisted_QC_under_PI_freeze_instruction</x:v>
      </x:c>
    </x:row>
    <x:row r="3">
      <x:c r="A3" s="17" t="str">
        <x:v>WT</x:v>
      </x:c>
      <x:c r="B3" s="17" t="str">
        <x:v>WT_02</x:v>
      </x:c>
      <x:c r="C3" s="17" t="n">
        <x:v>69</x:v>
      </x:c>
      <x:c r="D3" s="41" t="n">
        <x:v>97.14222222222224</x:v>
      </x:c>
      <x:c r="E3" s="41" t="n">
        <x:v>5.18</x:v>
      </x:c>
      <x:c r="F3" s="41" t="n">
        <x:v>503.1967111111112</x:v>
      </x:c>
      <x:c r="G3" s="41" t="n">
        <x:v>54.67410061728396</x:v>
      </x:c>
      <x:c r="H3" s="41" t="n">
        <x:v>0.1610897285004041</x:v>
      </x:c>
      <x:c r="I3" s="41" t="n">
        <x:v>320.7006746913581</x:v>
      </x:c>
      <x:c r="J3" s="41" t="n">
        <x:v>503.1967111111112</x:v>
      </x:c>
      <x:c r="K3" s="41" t="n">
        <x:v>680.7263425925927</x:v>
      </x:c>
      <x:c r="L3" s="17" t="str">
        <x:v>window_sensitive</x:v>
      </x:c>
      <x:c r="M3" s="17" t="str">
        <x:v>RESOLVED_RETAIN_PRIMARY_20MS_REQUIRE_10_50MS_SENSITIVITY</x:v>
      </x:c>
      <x:c r="N3" s="17" t="str">
        <x:v>PASS</x:v>
      </x:c>
      <x:c r="O3" s="17" t="str">
        <x:v>PASS</x:v>
      </x:c>
      <x:c r="P3" s="17"/>
      <x:c r="Q3" s="17" t="str">
        <x:v>model-blind review of capacitance_qc_all_cells.pdf plus frozen v1 table; robust_cv threshold 0.30</x:v>
      </x:c>
      <x:c r="R3" s="17" t="str">
        <x:v>2026-08-04</x:v>
      </x:c>
      <x:c r="S3" s="17" t="str">
        <x:v>Codex_assisted_QC_under_PI_freeze_instruction</x:v>
      </x:c>
    </x:row>
    <x:row r="4">
      <x:c r="A4" s="17" t="str">
        <x:v>WT</x:v>
      </x:c>
      <x:c r="B4" s="17" t="str">
        <x:v>WT_03</x:v>
      </x:c>
      <x:c r="C4" s="17" t="n">
        <x:v>5</x:v>
      </x:c>
      <x:c r="D4" s="41" t="n">
        <x:v>40.851851851851855</x:v>
      </x:c>
      <x:c r="E4" s="41" t="n">
        <x:v>5.18</x:v>
      </x:c>
      <x:c r="F4" s="41" t="n">
        <x:v>211.6125925925926</x:v>
      </x:c>
      <x:c r="G4" s="41" t="n">
        <x:v>6.116195715099735</x:v>
      </x:c>
      <x:c r="H4" s="41" t="n">
        <x:v>0.0428512861929006</x:v>
      </x:c>
      <x:c r="I4" s="41" t="n">
        <x:v>149.13587716049383</x:v>
      </x:c>
      <x:c r="J4" s="41" t="n">
        <x:v>211.6125925925926</x:v>
      </x:c>
      <x:c r="K4" s="41" t="n">
        <x:v>242.4548561728395</x:v>
      </x:c>
      <x:c r="L4" s="17" t="str">
        <x:v>window_sensitive</x:v>
      </x:c>
      <x:c r="M4" s="17" t="str">
        <x:v>RESOLVED_RETAIN_PRIMARY_20MS_REQUIRE_10_50MS_SENSITIVITY</x:v>
      </x:c>
      <x:c r="N4" s="17" t="str">
        <x:v>PASS</x:v>
      </x:c>
      <x:c r="O4" s="17" t="str">
        <x:v>PASS</x:v>
      </x:c>
      <x:c r="P4" s="17"/>
      <x:c r="Q4" s="17" t="str">
        <x:v>model-blind review of capacitance_qc_all_cells.pdf plus frozen v1 table; robust_cv threshold 0.30</x:v>
      </x:c>
      <x:c r="R4" s="17" t="str">
        <x:v>2026-08-04</x:v>
      </x:c>
      <x:c r="S4" s="17" t="str">
        <x:v>Codex_assisted_QC_under_PI_freeze_instruction</x:v>
      </x:c>
    </x:row>
    <x:row r="5">
      <x:c r="A5" s="17" t="str">
        <x:v>WT</x:v>
      </x:c>
      <x:c r="B5" s="17" t="str">
        <x:v>WT_04</x:v>
      </x:c>
      <x:c r="C5" s="17" t="n">
        <x:v>6</x:v>
      </x:c>
      <x:c r="D5" s="41" t="n">
        <x:v>101.59074074074076</x:v>
      </x:c>
      <x:c r="E5" s="41" t="n">
        <x:v>5.18</x:v>
      </x:c>
      <x:c r="F5" s="41" t="n">
        <x:v>526.240037037037</x:v>
      </x:c>
      <x:c r="G5" s="41" t="n">
        <x:v>44.27201127255466</x:v>
      </x:c>
      <x:c r="H5" s="41" t="n">
        <x:v>0.1247295517122919</x:v>
      </x:c>
      <x:c r="I5" s="41" t="n">
        <x:v>333.111251234568</x:v>
      </x:c>
      <x:c r="J5" s="41" t="n">
        <x:v>526.240037037037</x:v>
      </x:c>
      <x:c r="K5" s="41" t="n">
        <x:v>750.8663404320988</x:v>
      </x:c>
      <x:c r="L5" s="17" t="str">
        <x:v>window_sensitive</x:v>
      </x:c>
      <x:c r="M5" s="17" t="str">
        <x:v>RESOLVED_RETAIN_PRIMARY_20MS_REQUIRE_10_50MS_SENSITIVITY</x:v>
      </x:c>
      <x:c r="N5" s="17" t="str">
        <x:v>PASS</x:v>
      </x:c>
      <x:c r="O5" s="17" t="str">
        <x:v>PASS</x:v>
      </x:c>
      <x:c r="P5" s="17"/>
      <x:c r="Q5" s="17" t="str">
        <x:v>model-blind review of capacitance_qc_all_cells.pdf plus frozen v1 table; robust_cv threshold 0.30</x:v>
      </x:c>
      <x:c r="R5" s="17" t="str">
        <x:v>2026-08-04</x:v>
      </x:c>
      <x:c r="S5" s="17" t="str">
        <x:v>Codex_assisted_QC_under_PI_freeze_instruction</x:v>
      </x:c>
    </x:row>
    <x:row r="6">
      <x:c r="A6" s="17" t="str">
        <x:v>WT</x:v>
      </x:c>
      <x:c r="B6" s="17" t="str">
        <x:v>WT_05</x:v>
      </x:c>
      <x:c r="C6" s="17" t="n">
        <x:v>5</x:v>
      </x:c>
      <x:c r="D6" s="41" t="n">
        <x:v>96.53373456790123</x:v>
      </x:c>
      <x:c r="E6" s="41" t="n">
        <x:v>5.18</x:v>
      </x:c>
      <x:c r="F6" s="41" t="n">
        <x:v>500.0447450617284</x:v>
      </x:c>
      <x:c r="G6" s="41" t="n">
        <x:v>13.86369444444449</x:v>
      </x:c>
      <x:c r="H6" s="41" t="n">
        <x:v>0.0411049482797705</x:v>
      </x:c>
      <x:c r="I6" s="41" t="n">
        <x:v>361.3283419753087</x:v>
      </x:c>
      <x:c r="J6" s="41" t="n">
        <x:v>500.0447450617284</x:v>
      </x:c>
      <x:c r="K6" s="41" t="n">
        <x:v>533.4519080246913</x:v>
      </x:c>
      <x:c r="L6" s="17" t="str">
        <x:v>pass</x:v>
      </x:c>
      <x:c r="M6" s="17" t="str">
        <x:v>NO_AUTOMATIC_FLAG</x:v>
      </x:c>
      <x:c r="N6" s="17" t="str">
        <x:v>PASS</x:v>
      </x:c>
      <x:c r="O6" s="17" t="str">
        <x:v>PASS</x:v>
      </x:c>
      <x:c r="P6" s="17"/>
      <x:c r="Q6" s="17" t="str">
        <x:v>model-blind review of capacitance_qc_all_cells.pdf plus frozen v1 table; robust_cv threshold 0.30</x:v>
      </x:c>
      <x:c r="R6" s="17" t="str">
        <x:v>2026-08-04</x:v>
      </x:c>
      <x:c r="S6" s="17" t="str">
        <x:v>Codex_assisted_QC_under_PI_freeze_instruction</x:v>
      </x:c>
    </x:row>
    <x:row r="7">
      <x:c r="A7" s="17" t="str">
        <x:v>WT</x:v>
      </x:c>
      <x:c r="B7" s="17" t="str">
        <x:v>WT_06</x:v>
      </x:c>
      <x:c r="C7" s="17" t="n">
        <x:v>2</x:v>
      </x:c>
      <x:c r="D7" s="41" t="n">
        <x:v>75.94620370370372</x:v>
      </x:c>
      <x:c r="E7" s="41" t="n">
        <x:v>5.18</x:v>
      </x:c>
      <x:c r="F7" s="41" t="n">
        <x:v>393.4013351851852</x:v>
      </x:c>
      <x:c r="G7" s="41" t="n">
        <x:v>0.5365456790123346</x:v>
      </x:c>
      <x:c r="H7" s="41" t="n">
        <x:v>0.0020220638634315</x:v>
      </x:c>
      <x:c r="I7" s="41" t="n">
        <x:v>261.82669722222226</x:v>
      </x:c>
      <x:c r="J7" s="41" t="n">
        <x:v>393.4013351851852</x:v>
      </x:c>
      <x:c r="K7" s="41" t="n">
        <x:v>529.9507716049382</x:v>
      </x:c>
      <x:c r="L7" s="17" t="str">
        <x:v>window_sensitive</x:v>
      </x:c>
      <x:c r="M7" s="17" t="str">
        <x:v>RESOLVED_RETAIN_PRIMARY_20MS_REQUIRE_10_50MS_SENSITIVITY</x:v>
      </x:c>
      <x:c r="N7" s="17" t="str">
        <x:v>PASS</x:v>
      </x:c>
      <x:c r="O7" s="17" t="str">
        <x:v>PASS</x:v>
      </x:c>
      <x:c r="P7" s="17"/>
      <x:c r="Q7" s="17" t="str">
        <x:v>model-blind review of capacitance_qc_all_cells.pdf plus frozen v1 table; robust_cv threshold 0.30</x:v>
      </x:c>
      <x:c r="R7" s="17" t="str">
        <x:v>2026-08-04</x:v>
      </x:c>
      <x:c r="S7" s="17" t="str">
        <x:v>Codex_assisted_QC_under_PI_freeze_instruction</x:v>
      </x:c>
    </x:row>
    <x:row r="8">
      <x:c r="A8" s="17" t="str">
        <x:v>WT</x:v>
      </x:c>
      <x:c r="B8" s="17" t="str">
        <x:v>WT_07</x:v>
      </x:c>
      <x:c r="C8" s="17" t="n">
        <x:v>11</x:v>
      </x:c>
      <x:c r="D8" s="41" t="n">
        <x:v>68.29580246913581</x:v>
      </x:c>
      <x:c r="E8" s="41" t="n">
        <x:v>5.18</x:v>
      </x:c>
      <x:c r="F8" s="41" t="n">
        <x:v>353.7722567901235</x:v>
      </x:c>
      <x:c r="G8" s="41" t="n">
        <x:v>17.820958641975324</x:v>
      </x:c>
      <x:c r="H8" s="41" t="n">
        <x:v>0.0746846389887129</x:v>
      </x:c>
      <x:c r="I8" s="41" t="n">
        <x:v>223.50484938271603</x:v>
      </x:c>
      <x:c r="J8" s="41" t="n">
        <x:v>353.7722567901235</x:v>
      </x:c>
      <x:c r="K8" s="41" t="n">
        <x:v>500.8840969135802</x:v>
      </x:c>
      <x:c r="L8" s="17" t="str">
        <x:v>window_sensitive</x:v>
      </x:c>
      <x:c r="M8" s="17" t="str">
        <x:v>RESOLVED_RETAIN_PRIMARY_20MS_REQUIRE_10_50MS_SENSITIVITY</x:v>
      </x:c>
      <x:c r="N8" s="17" t="str">
        <x:v>PASS</x:v>
      </x:c>
      <x:c r="O8" s="17" t="str">
        <x:v>PASS</x:v>
      </x:c>
      <x:c r="P8" s="17"/>
      <x:c r="Q8" s="17" t="str">
        <x:v>model-blind review of capacitance_qc_all_cells.pdf plus frozen v1 table; robust_cv threshold 0.30</x:v>
      </x:c>
      <x:c r="R8" s="17" t="str">
        <x:v>2026-08-04</x:v>
      </x:c>
      <x:c r="S8" s="17" t="str">
        <x:v>Codex_assisted_QC_under_PI_freeze_instruction</x:v>
      </x:c>
    </x:row>
    <x:row r="9">
      <x:c r="A9" s="17" t="str">
        <x:v>WT</x:v>
      </x:c>
      <x:c r="B9" s="17" t="str">
        <x:v>WT_08</x:v>
      </x:c>
      <x:c r="C9" s="17" t="n">
        <x:v>10</x:v>
      </x:c>
      <x:c r="D9" s="41" t="n">
        <x:v>121.42682504246542</x:v>
      </x:c>
      <x:c r="E9" s="41" t="n">
        <x:v>5.18</x:v>
      </x:c>
      <x:c r="F9" s="41" t="n">
        <x:v>628.9909537199709</x:v>
      </x:c>
      <x:c r="G9" s="41" t="n">
        <x:v>63.1903182336182</x:v>
      </x:c>
      <x:c r="H9" s="41" t="n">
        <x:v>0.1489464439179703</x:v>
      </x:c>
      <x:c r="I9" s="41" t="n">
        <x:v>451.16076484154337</x:v>
      </x:c>
      <x:c r="J9" s="41" t="n">
        <x:v>628.9909537199709</x:v>
      </x:c>
      <x:c r="K9" s="41" t="n">
        <x:v>727.4098274690609</x:v>
      </x:c>
      <x:c r="L9" s="17" t="str">
        <x:v>window_sensitive</x:v>
      </x:c>
      <x:c r="M9" s="17" t="str">
        <x:v>RESOLVED_RETAIN_PRIMARY_20MS_REQUIRE_10_50MS_SENSITIVITY</x:v>
      </x:c>
      <x:c r="N9" s="17" t="str">
        <x:v>PASS</x:v>
      </x:c>
      <x:c r="O9" s="17" t="str">
        <x:v>PASS</x:v>
      </x:c>
      <x:c r="P9" s="17"/>
      <x:c r="Q9" s="17" t="str">
        <x:v>model-blind review of capacitance_qc_all_cells.pdf plus frozen v1 table; robust_cv threshold 0.30</x:v>
      </x:c>
      <x:c r="R9" s="17" t="str">
        <x:v>2026-08-04</x:v>
      </x:c>
      <x:c r="S9" s="17" t="str">
        <x:v>Codex_assisted_QC_under_PI_freeze_instruction</x:v>
      </x:c>
    </x:row>
    <x:row r="10">
      <x:c r="A10" s="17" t="str">
        <x:v>WT</x:v>
      </x:c>
      <x:c r="B10" s="17" t="str">
        <x:v>WT_09</x:v>
      </x:c>
      <x:c r="C10" s="17" t="n">
        <x:v>4</x:v>
      </x:c>
      <x:c r="D10" s="41" t="n">
        <x:v>75.9177675688509</x:v>
      </x:c>
      <x:c r="E10" s="41" t="n">
        <x:v>5.18</x:v>
      </x:c>
      <x:c r="F10" s="41" t="n">
        <x:v>393.25403600664765</x:v>
      </x:c>
      <x:c r="G10" s="41" t="n">
        <x:v>6.161135289648712</x:v>
      </x:c>
      <x:c r="H10" s="41" t="n">
        <x:v>0.0232279858413932</x:v>
      </x:c>
      <x:c r="I10" s="41" t="n">
        <x:v>292.1579385527065</x:v>
      </x:c>
      <x:c r="J10" s="41" t="n">
        <x:v>393.25403600664765</x:v>
      </x:c>
      <x:c r="K10" s="41" t="n">
        <x:v>423.6535035451092</x:v>
      </x:c>
      <x:c r="L10" s="17" t="str">
        <x:v>pass</x:v>
      </x:c>
      <x:c r="M10" s="17" t="str">
        <x:v>NO_AUTOMATIC_FLAG</x:v>
      </x:c>
      <x:c r="N10" s="17" t="str">
        <x:v>PASS</x:v>
      </x:c>
      <x:c r="O10" s="17" t="str">
        <x:v>PASS</x:v>
      </x:c>
      <x:c r="P10" s="17"/>
      <x:c r="Q10" s="17" t="str">
        <x:v>model-blind review of capacitance_qc_all_cells.pdf plus frozen v1 table; robust_cv threshold 0.30</x:v>
      </x:c>
      <x:c r="R10" s="17" t="str">
        <x:v>2026-08-04</x:v>
      </x:c>
      <x:c r="S10" s="17" t="str">
        <x:v>Codex_assisted_QC_under_PI_freeze_instruction</x:v>
      </x:c>
    </x:row>
    <x:row r="11">
      <x:c r="A11" s="17" t="str">
        <x:v>WT</x:v>
      </x:c>
      <x:c r="B11" s="17" t="str">
        <x:v>WT_10</x:v>
      </x:c>
      <x:c r="C11" s="17" t="n">
        <x:v>6</x:v>
      </x:c>
      <x:c r="D11" s="41" t="n">
        <x:v>80.75626543209876</x:v>
      </x:c>
      <x:c r="E11" s="41" t="n">
        <x:v>5.18</x:v>
      </x:c>
      <x:c r="F11" s="41" t="n">
        <x:v>418.3174549382716</x:v>
      </x:c>
      <x:c r="G11" s="41" t="n">
        <x:v>32.95061163532765</x:v>
      </x:c>
      <x:c r="H11" s="41" t="n">
        <x:v>0.1167835007452549</x:v>
      </x:c>
      <x:c r="I11" s="41" t="n">
        <x:v>305.8612537037037</x:v>
      </x:c>
      <x:c r="J11" s="41" t="n">
        <x:v>418.3174549382716</x:v>
      </x:c>
      <x:c r="K11" s="41" t="n">
        <x:v>448.262011728395</x:v>
      </x:c>
      <x:c r="L11" s="17" t="str">
        <x:v>pass</x:v>
      </x:c>
      <x:c r="M11" s="17" t="str">
        <x:v>NO_AUTOMATIC_FLAG</x:v>
      </x:c>
      <x:c r="N11" s="17" t="str">
        <x:v>PASS</x:v>
      </x:c>
      <x:c r="O11" s="17" t="str">
        <x:v>PASS</x:v>
      </x:c>
      <x:c r="P11" s="17"/>
      <x:c r="Q11" s="17" t="str">
        <x:v>model-blind review of capacitance_qc_all_cells.pdf plus frozen v1 table; robust_cv threshold 0.30</x:v>
      </x:c>
      <x:c r="R11" s="17" t="str">
        <x:v>2026-08-04</x:v>
      </x:c>
      <x:c r="S11" s="17" t="str">
        <x:v>Codex_assisted_QC_under_PI_freeze_instruction</x:v>
      </x:c>
    </x:row>
    <x:row r="12">
      <x:c r="A12" s="17" t="str">
        <x:v>WT</x:v>
      </x:c>
      <x:c r="B12" s="17" t="str">
        <x:v>WT_11</x:v>
      </x:c>
      <x:c r="C12" s="17" t="n">
        <x:v>6</x:v>
      </x:c>
      <x:c r="D12" s="41" t="n">
        <x:v>40.85446153846154</x:v>
      </x:c>
      <x:c r="E12" s="41" t="n">
        <x:v>5.18</x:v>
      </x:c>
      <x:c r="F12" s="41" t="n">
        <x:v>211.6261107692308</x:v>
      </x:c>
      <x:c r="G12" s="41" t="n">
        <x:v>22.741878703703733</x:v>
      </x:c>
      <x:c r="H12" s="41" t="n">
        <x:v>0.1593239569708778</x:v>
      </x:c>
      <x:c r="I12" s="41" t="n">
        <x:v>151.6186</x:v>
      </x:c>
      <x:c r="J12" s="41" t="n">
        <x:v>211.6261107692308</x:v>
      </x:c>
      <x:c r="K12" s="41" t="n">
        <x:v>260.48179876923075</x:v>
      </x:c>
      <x:c r="L12" s="17" t="str">
        <x:v>window_sensitive</x:v>
      </x:c>
      <x:c r="M12" s="17" t="str">
        <x:v>RESOLVED_RETAIN_PRIMARY_20MS_REQUIRE_10_50MS_SENSITIVITY</x:v>
      </x:c>
      <x:c r="N12" s="17" t="str">
        <x:v>PASS</x:v>
      </x:c>
      <x:c r="O12" s="17" t="str">
        <x:v>PASS</x:v>
      </x:c>
      <x:c r="P12" s="17"/>
      <x:c r="Q12" s="17" t="str">
        <x:v>model-blind review of capacitance_qc_all_cells.pdf plus frozen v1 table; robust_cv threshold 0.30</x:v>
      </x:c>
      <x:c r="R12" s="17" t="str">
        <x:v>2026-08-04</x:v>
      </x:c>
      <x:c r="S12" s="17" t="str">
        <x:v>Codex_assisted_QC_under_PI_freeze_instruction</x:v>
      </x:c>
    </x:row>
    <x:row r="13">
      <x:c r="A13" s="17" t="str">
        <x:v>WT</x:v>
      </x:c>
      <x:c r="B13" s="17" t="str">
        <x:v>WT_12</x:v>
      </x:c>
      <x:c r="C13" s="17" t="n">
        <x:v>7</x:v>
      </x:c>
      <x:c r="D13" s="41" t="n">
        <x:v>37.58586419753088</x:v>
      </x:c>
      <x:c r="E13" s="41" t="n">
        <x:v>5.18</x:v>
      </x:c>
      <x:c r="F13" s="41" t="n">
        <x:v>194.6947765432099</x:v>
      </x:c>
      <x:c r="G13" s="41" t="n">
        <x:v>46.258900379867015</x:v>
      </x:c>
      <x:c r="H13" s="41" t="n">
        <x:v>0.35226135452057</x:v>
      </x:c>
      <x:c r="I13" s="41" t="n">
        <x:v>164.01175</x:v>
      </x:c>
      <x:c r="J13" s="41" t="n">
        <x:v>194.6947765432099</x:v>
      </x:c>
      <x:c r="K13" s="41" t="n">
        <x:v>196.74023703703708</x:v>
      </x:c>
      <x:c r="L13" s="17" t="str">
        <x:v>sweep_variability_gt_0.30</x:v>
      </x:c>
      <x:c r="M13" s="17" t="str">
        <x:v>UNRESOLVED_EXCLUDE</x:v>
      </x:c>
      <x:c r="N13" s="17" t="str">
        <x:v>FAIL</x:v>
      </x:c>
      <x:c r="O13" s="17" t="str">
        <x:v>FAIL</x:v>
      </x:c>
      <x:c r="P13" s="17" t="str">
        <x:v>CAPA_POOR_QUALITY</x:v>
      </x:c>
      <x:c r="Q13" s="17" t="str">
        <x:v>model-blind review of capacitance_qc_all_cells.pdf plus frozen v1 table; robust_cv threshold 0.30</x:v>
      </x:c>
      <x:c r="R13" s="17" t="str">
        <x:v>2026-08-04</x:v>
      </x:c>
      <x:c r="S13" s="17" t="str">
        <x:v>Codex_assisted_QC_under_PI_freeze_instruction</x:v>
      </x:c>
    </x:row>
    <x:row r="14">
      <x:c r="A14" s="17" t="str">
        <x:v>WT</x:v>
      </x:c>
      <x:c r="B14" s="17" t="str">
        <x:v>WT_13</x:v>
      </x:c>
      <x:c r="C14" s="17" t="n">
        <x:v>16</x:v>
      </x:c>
      <x:c r="D14" s="41" t="n">
        <x:v>126.51918390313392</x:v>
      </x:c>
      <x:c r="E14" s="41" t="n">
        <x:v>5.18</x:v>
      </x:c>
      <x:c r="F14" s="41" t="n">
        <x:v>655.3693726182337</x:v>
      </x:c>
      <x:c r="G14" s="41" t="n">
        <x:v>14.343558231718871</x:v>
      </x:c>
      <x:c r="H14" s="41" t="n">
        <x:v>0.0324485096845289</x:v>
      </x:c>
      <x:c r="I14" s="41" t="n">
        <x:v>474.6434</x:v>
      </x:c>
      <x:c r="J14" s="41" t="n">
        <x:v>655.3693726182337</x:v>
      </x:c>
      <x:c r="K14" s="41" t="n">
        <x:v>801.1492291158595</x:v>
      </x:c>
      <x:c r="L14" s="17" t="str">
        <x:v>window_sensitive</x:v>
      </x:c>
      <x:c r="M14" s="17" t="str">
        <x:v>RESOLVED_RETAIN_PRIMARY_20MS_REQUIRE_10_50MS_SENSITIVITY</x:v>
      </x:c>
      <x:c r="N14" s="17" t="str">
        <x:v>PASS</x:v>
      </x:c>
      <x:c r="O14" s="17" t="str">
        <x:v>PASS</x:v>
      </x:c>
      <x:c r="P14" s="17"/>
      <x:c r="Q14" s="17" t="str">
        <x:v>model-blind review of capacitance_qc_all_cells.pdf plus frozen v1 table; robust_cv threshold 0.30</x:v>
      </x:c>
      <x:c r="R14" s="17" t="str">
        <x:v>2026-08-04</x:v>
      </x:c>
      <x:c r="S14" s="17" t="str">
        <x:v>Codex_assisted_QC_under_PI_freeze_instruction</x:v>
      </x:c>
    </x:row>
    <x:row r="15">
      <x:c r="A15" s="17" t="str">
        <x:v>WT</x:v>
      </x:c>
      <x:c r="B15" s="17" t="str">
        <x:v>WT_14</x:v>
      </x:c>
      <x:c r="C15" s="17" t="n">
        <x:v>8</x:v>
      </x:c>
      <x:c r="D15" s="41" t="n">
        <x:v>59.66361111111112</x:v>
      </x:c>
      <x:c r="E15" s="41" t="n">
        <x:v>5.18</x:v>
      </x:c>
      <x:c r="F15" s="41" t="n">
        <x:v>309.0575055555556</x:v>
      </x:c>
      <x:c r="G15" s="41" t="n">
        <x:v>19.59910555555558</x:v>
      </x:c>
      <x:c r="H15" s="41" t="n">
        <x:v>0.0940201528011212</x:v>
      </x:c>
      <x:c r="I15" s="41" t="n">
        <x:v>221.5505984567901</x:v>
      </x:c>
      <x:c r="J15" s="41" t="n">
        <x:v>309.0575055555556</x:v>
      </x:c>
      <x:c r="K15" s="41" t="n">
        <x:v>374.3712302469137</x:v>
      </x:c>
      <x:c r="L15" s="17" t="str">
        <x:v>window_sensitive</x:v>
      </x:c>
      <x:c r="M15" s="17" t="str">
        <x:v>RESOLVED_RETAIN_PRIMARY_20MS_REQUIRE_10_50MS_SENSITIVITY</x:v>
      </x:c>
      <x:c r="N15" s="17" t="str">
        <x:v>PASS</x:v>
      </x:c>
      <x:c r="O15" s="17" t="str">
        <x:v>PASS</x:v>
      </x:c>
      <x:c r="P15" s="17"/>
      <x:c r="Q15" s="17" t="str">
        <x:v>model-blind review of capacitance_qc_all_cells.pdf plus frozen v1 table; robust_cv threshold 0.30</x:v>
      </x:c>
      <x:c r="R15" s="17" t="str">
        <x:v>2026-08-04</x:v>
      </x:c>
      <x:c r="S15" s="17" t="str">
        <x:v>Codex_assisted_QC_under_PI_freeze_instruction</x:v>
      </x:c>
    </x:row>
    <x:row r="16">
      <x:c r="A16" s="17" t="str">
        <x:v>WT</x:v>
      </x:c>
      <x:c r="B16" s="17" t="str">
        <x:v>WT_15</x:v>
      </x:c>
      <x:c r="C16" s="17" t="n">
        <x:v>6</x:v>
      </x:c>
      <x:c r="D16" s="41" t="n">
        <x:v>62.88097825261159</x:v>
      </x:c>
      <x:c r="E16" s="41" t="n">
        <x:v>5.18</x:v>
      </x:c>
      <x:c r="F16" s="41" t="n">
        <x:v>325.72346734852806</x:v>
      </x:c>
      <x:c r="G16" s="41" t="n">
        <x:v>29.05556327160494</x:v>
      </x:c>
      <x:c r="H16" s="41" t="n">
        <x:v>0.1322526081929114</x:v>
      </x:c>
      <x:c r="I16" s="41" t="n">
        <x:v>233.1424774757835</x:v>
      </x:c>
      <x:c r="J16" s="41" t="n">
        <x:v>325.72346734852806</x:v>
      </x:c>
      <x:c r="K16" s="41" t="n">
        <x:v>366.2782985688509</x:v>
      </x:c>
      <x:c r="L16" s="17" t="str">
        <x:v>window_sensitive</x:v>
      </x:c>
      <x:c r="M16" s="17" t="str">
        <x:v>RESOLVED_RETAIN_PRIMARY_20MS_REQUIRE_10_50MS_SENSITIVITY</x:v>
      </x:c>
      <x:c r="N16" s="17" t="str">
        <x:v>PASS</x:v>
      </x:c>
      <x:c r="O16" s="17" t="str">
        <x:v>PASS</x:v>
      </x:c>
      <x:c r="P16" s="17"/>
      <x:c r="Q16" s="17" t="str">
        <x:v>model-blind review of capacitance_qc_all_cells.pdf plus frozen v1 table; robust_cv threshold 0.30</x:v>
      </x:c>
      <x:c r="R16" s="17" t="str">
        <x:v>2026-08-04</x:v>
      </x:c>
      <x:c r="S16" s="17" t="str">
        <x:v>Codex_assisted_QC_under_PI_freeze_instruction</x:v>
      </x:c>
    </x:row>
    <x:row r="17">
      <x:c r="A17" s="17" t="str">
        <x:v>WT</x:v>
      </x:c>
      <x:c r="B17" s="17" t="str">
        <x:v>WT_16</x:v>
      </x:c>
      <x:c r="C17" s="17" t="n">
        <x:v>8</x:v>
      </x:c>
      <x:c r="D17" s="41" t="n">
        <x:v>85.03934017094019</x:v>
      </x:c>
      <x:c r="E17" s="41" t="n">
        <x:v>5.18</x:v>
      </x:c>
      <x:c r="F17" s="41" t="n">
        <x:v>440.5037820854701</x:v>
      </x:c>
      <x:c r="G17" s="41" t="n">
        <x:v>23.829187759734022</x:v>
      </x:c>
      <x:c r="H17" s="41" t="n">
        <x:v>0.0802017036160811</x:v>
      </x:c>
      <x:c r="I17" s="41" t="n">
        <x:v>289.4769456790124</x:v>
      </x:c>
      <x:c r="J17" s="41" t="n">
        <x:v>440.5037820854701</x:v>
      </x:c>
      <x:c r="K17" s="41" t="n">
        <x:v>595.0681196923077</x:v>
      </x:c>
      <x:c r="L17" s="17" t="str">
        <x:v>window_sensitive</x:v>
      </x:c>
      <x:c r="M17" s="17" t="str">
        <x:v>RESOLVED_RETAIN_PRIMARY_20MS_REQUIRE_10_50MS_SENSITIVITY</x:v>
      </x:c>
      <x:c r="N17" s="17" t="str">
        <x:v>PASS</x:v>
      </x:c>
      <x:c r="O17" s="17" t="str">
        <x:v>PASS</x:v>
      </x:c>
      <x:c r="P17" s="17"/>
      <x:c r="Q17" s="17" t="str">
        <x:v>model-blind review of capacitance_qc_all_cells.pdf plus frozen v1 table; robust_cv threshold 0.30</x:v>
      </x:c>
      <x:c r="R17" s="17" t="str">
        <x:v>2026-08-04</x:v>
      </x:c>
      <x:c r="S17" s="17" t="str">
        <x:v>Codex_assisted_QC_under_PI_freeze_instruction</x:v>
      </x:c>
    </x:row>
    <x:row r="18">
      <x:c r="A18" s="17" t="str">
        <x:v>SCA3</x:v>
      </x:c>
      <x:c r="B18" s="17" t="str">
        <x:v>SCA3_01</x:v>
      </x:c>
      <x:c r="C18" s="17" t="n">
        <x:v>4</x:v>
      </x:c>
      <x:c r="D18" s="41" t="n">
        <x:v>13.107368827160496</x:v>
      </x:c>
      <x:c r="E18" s="41" t="n">
        <x:v>5.18</x:v>
      </x:c>
      <x:c r="F18" s="41" t="n">
        <x:v>67.89617052469137</x:v>
      </x:c>
      <x:c r="G18" s="41" t="n">
        <x:v>0.8107739197530819</x:v>
      </x:c>
      <x:c r="H18" s="41" t="n">
        <x:v>0.0177042888300861</x:v>
      </x:c>
      <x:c r="I18" s="41" t="n">
        <x:v>69.17398379629631</x:v>
      </x:c>
      <x:c r="J18" s="41" t="n">
        <x:v>67.89617052469137</x:v>
      </x:c>
      <x:c r="K18" s="41" t="n">
        <x:v>58.17427777777779</x:v>
      </x:c>
      <x:c r="L18" s="17" t="str">
        <x:v>pass</x:v>
      </x:c>
      <x:c r="M18" s="17" t="str">
        <x:v>NO_AUTOMATIC_FLAG</x:v>
      </x:c>
      <x:c r="N18" s="17" t="str">
        <x:v>PASS</x:v>
      </x:c>
      <x:c r="O18" s="17" t="str">
        <x:v>PASS</x:v>
      </x:c>
      <x:c r="P18" s="17"/>
      <x:c r="Q18" s="17" t="str">
        <x:v>model-blind review of capacitance_qc_all_cells.pdf plus frozen v1 table; robust_cv threshold 0.30</x:v>
      </x:c>
      <x:c r="R18" s="17" t="str">
        <x:v>2026-08-04</x:v>
      </x:c>
      <x:c r="S18" s="17" t="str">
        <x:v>Codex_assisted_QC_under_PI_freeze_instruction</x:v>
      </x:c>
    </x:row>
    <x:row r="19">
      <x:c r="A19" s="17" t="str">
        <x:v>SCA3</x:v>
      </x:c>
      <x:c r="B19" s="17" t="str">
        <x:v>SCA3_02</x:v>
      </x:c>
      <x:c r="C19" s="17" t="n">
        <x:v>4</x:v>
      </x:c>
      <x:c r="D19" s="41" t="n">
        <x:v>10.971974393178488</x:v>
      </x:c>
      <x:c r="E19" s="41" t="n">
        <x:v>5.18</x:v>
      </x:c>
      <x:c r="F19" s="41" t="n">
        <x:v>56.83482735666457</x:v>
      </x:c>
      <x:c r="G19" s="41" t="n">
        <x:v>1.9484947554605936</x:v>
      </x:c>
      <x:c r="H19" s="41" t="n">
        <x:v>0.0508286636698497</x:v>
      </x:c>
      <x:c r="I19" s="41" t="n">
        <x:v>58.08676877294603</x:v>
      </x:c>
      <x:c r="J19" s="41" t="n">
        <x:v>56.83482735666457</x:v>
      </x:c>
      <x:c r="K19" s="41" t="n">
        <x:v>49.40636885688333</x:v>
      </x:c>
      <x:c r="L19" s="17" t="str">
        <x:v>pass</x:v>
      </x:c>
      <x:c r="M19" s="17" t="str">
        <x:v>NO_AUTOMATIC_FLAG</x:v>
      </x:c>
      <x:c r="N19" s="17" t="str">
        <x:v>PASS</x:v>
      </x:c>
      <x:c r="O19" s="17" t="str">
        <x:v>PASS</x:v>
      </x:c>
      <x:c r="P19" s="17"/>
      <x:c r="Q19" s="17" t="str">
        <x:v>model-blind review of capacitance_qc_all_cells.pdf plus frozen v1 table; robust_cv threshold 0.30</x:v>
      </x:c>
      <x:c r="R19" s="17" t="str">
        <x:v>2026-08-04</x:v>
      </x:c>
      <x:c r="S19" s="17" t="str">
        <x:v>Codex_assisted_QC_under_PI_freeze_instruction</x:v>
      </x:c>
    </x:row>
    <x:row r="20">
      <x:c r="A20" s="17" t="str">
        <x:v>SCA3</x:v>
      </x:c>
      <x:c r="B20" s="17" t="str">
        <x:v>SCA3_03</x:v>
      </x:c>
      <x:c r="C20" s="17" t="n">
        <x:v>3</x:v>
      </x:c>
      <x:c r="D20" s="41" t="n">
        <x:v>11.16033950617284</x:v>
      </x:c>
      <x:c r="E20" s="41" t="n">
        <x:v>5.18</x:v>
      </x:c>
      <x:c r="F20" s="41" t="n">
        <x:v>57.81055864197531</x:v>
      </x:c>
      <x:c r="G20" s="41" t="n">
        <x:v>0.5331882716049208</x:v>
      </x:c>
      <x:c r="H20" s="41" t="n">
        <x:v>0.013674057993058</x:v>
      </x:c>
      <x:c r="I20" s="41" t="n">
        <x:v>64.070125</x:v>
      </x:c>
      <x:c r="J20" s="41" t="n">
        <x:v>57.81055864197531</x:v>
      </x:c>
      <x:c r="K20" s="41" t="n">
        <x:v>34.764754629629635</x:v>
      </x:c>
      <x:c r="L20" s="17" t="str">
        <x:v>window_sensitive</x:v>
      </x:c>
      <x:c r="M20" s="17" t="str">
        <x:v>RESOLVED_RETAIN_PRIMARY_20MS_REQUIRE_10_50MS_SENSITIVITY</x:v>
      </x:c>
      <x:c r="N20" s="17" t="str">
        <x:v>PASS</x:v>
      </x:c>
      <x:c r="O20" s="17" t="str">
        <x:v>PASS</x:v>
      </x:c>
      <x:c r="P20" s="17"/>
      <x:c r="Q20" s="17" t="str">
        <x:v>model-blind review of capacitance_qc_all_cells.pdf plus frozen v1 table; robust_cv threshold 0.30</x:v>
      </x:c>
      <x:c r="R20" s="17" t="str">
        <x:v>2026-08-04</x:v>
      </x:c>
      <x:c r="S20" s="17" t="str">
        <x:v>Codex_assisted_QC_under_PI_freeze_instruction</x:v>
      </x:c>
    </x:row>
    <x:row r="21">
      <x:c r="A21" s="17" t="str">
        <x:v>SCA3</x:v>
      </x:c>
      <x:c r="B21" s="17" t="str">
        <x:v>SCA3_04</x:v>
      </x:c>
      <x:c r="C21" s="17" t="n">
        <x:v>5</x:v>
      </x:c>
      <x:c r="D21" s="41" t="n">
        <x:v>16.119984567901234</x:v>
      </x:c>
      <x:c r="E21" s="41" t="n">
        <x:v>5.18</x:v>
      </x:c>
      <x:c r="F21" s="41" t="n">
        <x:v>83.50152006172839</x:v>
      </x:c>
      <x:c r="G21" s="41" t="n">
        <x:v>1.715874999999997</x:v>
      </x:c>
      <x:c r="H21" s="41" t="n">
        <x:v>0.0304659876026134</x:v>
      </x:c>
      <x:c r="I21" s="41" t="n">
        <x:v>86.00838425925927</x:v>
      </x:c>
      <x:c r="J21" s="41" t="n">
        <x:v>83.50152006172839</x:v>
      </x:c>
      <x:c r="K21" s="41" t="n">
        <x:v>67.93234259259259</x:v>
      </x:c>
      <x:c r="L21" s="17" t="str">
        <x:v>pass</x:v>
      </x:c>
      <x:c r="M21" s="17" t="str">
        <x:v>NO_AUTOMATIC_FLAG</x:v>
      </x:c>
      <x:c r="N21" s="17" t="str">
        <x:v>PASS</x:v>
      </x:c>
      <x:c r="O21" s="17" t="str">
        <x:v>PASS</x:v>
      </x:c>
      <x:c r="P21" s="17"/>
      <x:c r="Q21" s="17" t="str">
        <x:v>model-blind review of capacitance_qc_all_cells.pdf plus frozen v1 table; robust_cv threshold 0.30</x:v>
      </x:c>
      <x:c r="R21" s="17" t="str">
        <x:v>2026-08-04</x:v>
      </x:c>
      <x:c r="S21" s="17" t="str">
        <x:v>Codex_assisted_QC_under_PI_freeze_instruction</x:v>
      </x:c>
    </x:row>
    <x:row r="22">
      <x:c r="A22" s="17" t="str">
        <x:v>SCA3</x:v>
      </x:c>
      <x:c r="B22" s="17" t="str">
        <x:v>SCA3_05</x:v>
      </x:c>
      <x:c r="C22" s="17" t="n">
        <x:v>13</x:v>
      </x:c>
      <x:c r="D22" s="41" t="n">
        <x:v>21.879861111111115</x:v>
      </x:c>
      <x:c r="E22" s="41" t="n">
        <x:v>5.18</x:v>
      </x:c>
      <x:c r="F22" s="41" t="n">
        <x:v>113.33768055555556</x:v>
      </x:c>
      <x:c r="G22" s="41" t="n">
        <x:v>1.1451157407407209</x:v>
      </x:c>
      <x:c r="H22" s="41" t="n">
        <x:v>0.0149795600977557</x:v>
      </x:c>
      <x:c r="I22" s="41" t="n">
        <x:v>111.34961574074072</x:v>
      </x:c>
      <x:c r="J22" s="41" t="n">
        <x:v>113.33768055555556</x:v>
      </x:c>
      <x:c r="K22" s="41" t="n">
        <x:v>110.61738117283949</x:v>
      </x:c>
      <x:c r="L22" s="17" t="str">
        <x:v>pass</x:v>
      </x:c>
      <x:c r="M22" s="17" t="str">
        <x:v>NO_AUTOMATIC_FLAG</x:v>
      </x:c>
      <x:c r="N22" s="17" t="str">
        <x:v>PASS</x:v>
      </x:c>
      <x:c r="O22" s="17" t="str">
        <x:v>PASS</x:v>
      </x:c>
      <x:c r="P22" s="17"/>
      <x:c r="Q22" s="17" t="str">
        <x:v>model-blind review of capacitance_qc_all_cells.pdf plus frozen v1 table; robust_cv threshold 0.30</x:v>
      </x:c>
      <x:c r="R22" s="17" t="str">
        <x:v>2026-08-04</x:v>
      </x:c>
      <x:c r="S22" s="17" t="str">
        <x:v>Codex_assisted_QC_under_PI_freeze_instruction</x:v>
      </x:c>
    </x:row>
    <x:row r="23">
      <x:c r="A23" s="17" t="str">
        <x:v>SCA3</x:v>
      </x:c>
      <x:c r="B23" s="17" t="str">
        <x:v>SCA3_06</x:v>
      </x:c>
      <x:c r="C23" s="17" t="n">
        <x:v>3</x:v>
      </x:c>
      <x:c r="D23" s="41" t="n">
        <x:v>15.719076923076925</x:v>
      </x:c>
      <x:c r="E23" s="41" t="n">
        <x:v>5.18</x:v>
      </x:c>
      <x:c r="F23" s="41" t="n">
        <x:v>81.42481846153845</x:v>
      </x:c>
      <x:c r="G23" s="41" t="n">
        <x:v>0.2557077730294423</x:v>
      </x:c>
      <x:c r="H23" s="41" t="n">
        <x:v>0.0046559802214668</x:v>
      </x:c>
      <x:c r="I23" s="41" t="n">
        <x:v>83.83006635802467</x:v>
      </x:c>
      <x:c r="J23" s="41" t="n">
        <x:v>81.42481846153845</x:v>
      </x:c>
      <x:c r="K23" s="41" t="n">
        <x:v>67.82602469135801</x:v>
      </x:c>
      <x:c r="L23" s="17" t="str">
        <x:v>pass</x:v>
      </x:c>
      <x:c r="M23" s="17" t="str">
        <x:v>NO_AUTOMATIC_FLAG</x:v>
      </x:c>
      <x:c r="N23" s="17" t="str">
        <x:v>PASS</x:v>
      </x:c>
      <x:c r="O23" s="17" t="str">
        <x:v>PASS</x:v>
      </x:c>
      <x:c r="P23" s="17"/>
      <x:c r="Q23" s="17" t="str">
        <x:v>model-blind review of capacitance_qc_all_cells.pdf plus frozen v1 table; robust_cv threshold 0.30</x:v>
      </x:c>
      <x:c r="R23" s="17" t="str">
        <x:v>2026-08-04</x:v>
      </x:c>
      <x:c r="S23" s="17" t="str">
        <x:v>Codex_assisted_QC_under_PI_freeze_instruction</x:v>
      </x:c>
    </x:row>
    <x:row r="24">
      <x:c r="A24" s="17" t="str">
        <x:v>SCA3</x:v>
      </x:c>
      <x:c r="B24" s="17" t="str">
        <x:v>SCA3_07</x:v>
      </x:c>
      <x:c r="C24" s="17" t="n">
        <x:v>4</x:v>
      </x:c>
      <x:c r="D24" s="41" t="n">
        <x:v>39.81230709876543</x:v>
      </x:c>
      <x:c r="E24" s="41" t="n">
        <x:v>5.18</x:v>
      </x:c>
      <x:c r="F24" s="41" t="n">
        <x:v>206.2277507716049</x:v>
      </x:c>
      <x:c r="G24" s="41" t="n">
        <x:v>1.1175370370370388</x:v>
      </x:c>
      <x:c r="H24" s="41" t="n">
        <x:v>0.0080341292813985</x:v>
      </x:c>
      <x:c r="I24" s="41" t="n">
        <x:v>175.2736535493827</x:v>
      </x:c>
      <x:c r="J24" s="41" t="n">
        <x:v>206.2277507716049</x:v>
      </x:c>
      <x:c r="K24" s="41" t="n">
        <x:v>212.91858410493825</x:v>
      </x:c>
      <x:c r="L24" s="17" t="str">
        <x:v>pass</x:v>
      </x:c>
      <x:c r="M24" s="17" t="str">
        <x:v>NO_AUTOMATIC_FLAG</x:v>
      </x:c>
      <x:c r="N24" s="17" t="str">
        <x:v>PASS</x:v>
      </x:c>
      <x:c r="O24" s="17" t="str">
        <x:v>PASS</x:v>
      </x:c>
      <x:c r="P24" s="17"/>
      <x:c r="Q24" s="17" t="str">
        <x:v>model-blind review of capacitance_qc_all_cells.pdf plus frozen v1 table; robust_cv threshold 0.30</x:v>
      </x:c>
      <x:c r="R24" s="17" t="str">
        <x:v>2026-08-04</x:v>
      </x:c>
      <x:c r="S24" s="17" t="str">
        <x:v>Codex_assisted_QC_under_PI_freeze_instruction</x:v>
      </x:c>
    </x:row>
    <x:row r="25">
      <x:c r="A25" s="17" t="str">
        <x:v>SCA3</x:v>
      </x:c>
      <x:c r="B25" s="17" t="str">
        <x:v>SCA3_08</x:v>
      </x:c>
      <x:c r="C25" s="17" t="n">
        <x:v>4</x:v>
      </x:c>
      <x:c r="D25" s="41" t="n">
        <x:v>34.19996331908832</x:v>
      </x:c>
      <x:c r="E25" s="41" t="n">
        <x:v>5.18</x:v>
      </x:c>
      <x:c r="F25" s="41" t="n">
        <x:v>177.1558099928775</x:v>
      </x:c>
      <x:c r="G25" s="41" t="n">
        <x:v>2.8138369990503094</x:v>
      </x:c>
      <x:c r="H25" s="41" t="n">
        <x:v>0.0235487322428754</x:v>
      </x:c>
      <x:c r="I25" s="41" t="n">
        <x:v>170.5926977255461</x:v>
      </x:c>
      <x:c r="J25" s="41" t="n">
        <x:v>177.1558099928775</x:v>
      </x:c>
      <x:c r="K25" s="41" t="n">
        <x:v>168.01505864197532</x:v>
      </x:c>
      <x:c r="L25" s="17" t="str">
        <x:v>pass</x:v>
      </x:c>
      <x:c r="M25" s="17" t="str">
        <x:v>NO_AUTOMATIC_FLAG</x:v>
      </x:c>
      <x:c r="N25" s="17" t="str">
        <x:v>PASS</x:v>
      </x:c>
      <x:c r="O25" s="17" t="str">
        <x:v>PASS</x:v>
      </x:c>
      <x:c r="P25" s="17"/>
      <x:c r="Q25" s="17" t="str">
        <x:v>model-blind review of capacitance_qc_all_cells.pdf plus frozen v1 table; robust_cv threshold 0.30</x:v>
      </x:c>
      <x:c r="R25" s="17" t="str">
        <x:v>2026-08-04</x:v>
      </x:c>
      <x:c r="S25" s="17" t="str">
        <x:v>Codex_assisted_QC_under_PI_freeze_instruction</x:v>
      </x:c>
    </x:row>
    <x:row r="26">
      <x:c r="A26" s="18" t="str">
        <x:v>SCA3</x:v>
      </x:c>
      <x:c r="B26" s="18" t="str">
        <x:v>SCA3_09</x:v>
      </x:c>
      <x:c r="C26" s="18" t="n">
        <x:v>11</x:v>
      </x:c>
      <x:c r="D26" s="42" t="n">
        <x:v>23.76280864197531</x:v>
      </x:c>
      <x:c r="E26" s="42" t="n">
        <x:v>5.18</x:v>
      </x:c>
      <x:c r="F26" s="42" t="n">
        <x:v>123.0913487654321</x:v>
      </x:c>
      <x:c r="G26" s="42" t="n">
        <x:v>1.9345454063470413</x:v>
      </x:c>
      <x:c r="H26" s="42" t="n">
        <x:v>0.0233010446974287</x:v>
      </x:c>
      <x:c r="I26" s="42" t="n">
        <x:v>122.73850615384616</x:v>
      </x:c>
      <x:c r="J26" s="42" t="n">
        <x:v>123.0913487654321</x:v>
      </x:c>
      <x:c r="K26" s="42" t="n">
        <x:v>113.69183538461536</x:v>
      </x:c>
      <x:c r="L26" s="18" t="str">
        <x:v>pass</x:v>
      </x:c>
      <x:c r="M26" s="18" t="str">
        <x:v>NO_AUTOMATIC_FLAG</x:v>
      </x:c>
      <x:c r="N26" s="18" t="str">
        <x:v>PASS</x:v>
      </x:c>
      <x:c r="O26" s="18" t="str">
        <x:v>PASS</x:v>
      </x:c>
      <x:c r="P26" s="18"/>
      <x:c r="Q26" s="18" t="str">
        <x:v>model-blind review of capacitance_qc_all_cells.pdf plus frozen v1 table; robust_cv threshold 0.30</x:v>
      </x:c>
      <x:c r="R26" s="18" t="str">
        <x:v>2026-08-04</x:v>
      </x:c>
      <x:c r="S26" s="18" t="str">
        <x:v>Codex_assisted_QC_under_PI_freeze_instruction</x:v>
      </x:c>
    </x:row>
  </x:sheetData>
  <x:pageMargins left="0.7" right="0.7" top="0.75" bottom="0.75" header="0.3" footer="0.3"/>
  <x:tableParts count="1">
    <x:tablePart xmlns:r="http://schemas.openxmlformats.org/officeDocument/2006/relationships" r:id="R0df8c0978f314a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3.440000057220459" hidden="0" customWidth="1"/>
    <x:col min="3" max="3" width="5.110000133514404" hidden="0" customWidth="1"/>
    <x:col min="4" max="4" width="7.440000057220459" hidden="0" customWidth="1"/>
    <x:col min="5" max="5" width="7" hidden="0" customWidth="1"/>
  </x:cols>
  <x:sheetData>
    <x:row r="1">
      <x:c r="A1" s="9" t="str">
        <x:v>cv_scheme</x:v>
      </x:c>
      <x:c r="B1" s="10" t="str">
        <x:v>fold</x:v>
      </x:c>
      <x:c r="C1" s="10" t="str">
        <x:v>group</x:v>
      </x:c>
      <x:c r="D1" s="10" t="str">
        <x:v>cell_id</x:v>
      </x:c>
      <x:c r="E1" s="11" t="str">
        <x:v>partition</x:v>
      </x:c>
    </x:row>
    <x:row r="2">
      <x:c r="A2" s="16" t="str">
        <x:v>sca3_leave_one_cell_out</x:v>
      </x:c>
      <x:c r="B2" s="16" t="n">
        <x:v>0</x:v>
      </x:c>
      <x:c r="C2" s="16" t="str">
        <x:v>SCA3</x:v>
      </x:c>
      <x:c r="D2" s="16" t="str">
        <x:v>SCA3_01</x:v>
      </x:c>
      <x:c r="E2" s="16" t="str">
        <x:v>test</x:v>
      </x:c>
    </x:row>
    <x:row r="3">
      <x:c r="A3" s="17" t="str">
        <x:v>sca3_leave_one_cell_out</x:v>
      </x:c>
      <x:c r="B3" s="17" t="n">
        <x:v>0</x:v>
      </x:c>
      <x:c r="C3" s="17" t="str">
        <x:v>SCA3</x:v>
      </x:c>
      <x:c r="D3" s="17" t="str">
        <x:v>SCA3_02</x:v>
      </x:c>
      <x:c r="E3" s="17" t="str">
        <x:v>train</x:v>
      </x:c>
    </x:row>
    <x:row r="4">
      <x:c r="A4" s="17" t="str">
        <x:v>sca3_leave_one_cell_out</x:v>
      </x:c>
      <x:c r="B4" s="17" t="n">
        <x:v>0</x:v>
      </x:c>
      <x:c r="C4" s="17" t="str">
        <x:v>SCA3</x:v>
      </x:c>
      <x:c r="D4" s="17" t="str">
        <x:v>SCA3_03</x:v>
      </x:c>
      <x:c r="E4" s="17" t="str">
        <x:v>train</x:v>
      </x:c>
    </x:row>
    <x:row r="5">
      <x:c r="A5" s="17" t="str">
        <x:v>sca3_leave_one_cell_out</x:v>
      </x:c>
      <x:c r="B5" s="17" t="n">
        <x:v>0</x:v>
      </x:c>
      <x:c r="C5" s="17" t="str">
        <x:v>SCA3</x:v>
      </x:c>
      <x:c r="D5" s="17" t="str">
        <x:v>SCA3_04</x:v>
      </x:c>
      <x:c r="E5" s="17" t="str">
        <x:v>train</x:v>
      </x:c>
    </x:row>
    <x:row r="6">
      <x:c r="A6" s="17" t="str">
        <x:v>sca3_leave_one_cell_out</x:v>
      </x:c>
      <x:c r="B6" s="17" t="n">
        <x:v>0</x:v>
      </x:c>
      <x:c r="C6" s="17" t="str">
        <x:v>SCA3</x:v>
      </x:c>
      <x:c r="D6" s="17" t="str">
        <x:v>SCA3_05</x:v>
      </x:c>
      <x:c r="E6" s="17" t="str">
        <x:v>train</x:v>
      </x:c>
    </x:row>
    <x:row r="7">
      <x:c r="A7" s="17" t="str">
        <x:v>sca3_leave_one_cell_out</x:v>
      </x:c>
      <x:c r="B7" s="17" t="n">
        <x:v>0</x:v>
      </x:c>
      <x:c r="C7" s="17" t="str">
        <x:v>SCA3</x:v>
      </x:c>
      <x:c r="D7" s="17" t="str">
        <x:v>SCA3_06</x:v>
      </x:c>
      <x:c r="E7" s="17" t="str">
        <x:v>train</x:v>
      </x:c>
    </x:row>
    <x:row r="8">
      <x:c r="A8" s="17" t="str">
        <x:v>sca3_leave_one_cell_out</x:v>
      </x:c>
      <x:c r="B8" s="17" t="n">
        <x:v>0</x:v>
      </x:c>
      <x:c r="C8" s="17" t="str">
        <x:v>SCA3</x:v>
      </x:c>
      <x:c r="D8" s="17" t="str">
        <x:v>SCA3_07</x:v>
      </x:c>
      <x:c r="E8" s="17" t="str">
        <x:v>train</x:v>
      </x:c>
    </x:row>
    <x:row r="9">
      <x:c r="A9" s="17" t="str">
        <x:v>sca3_leave_one_cell_out</x:v>
      </x:c>
      <x:c r="B9" s="17" t="n">
        <x:v>0</x:v>
      </x:c>
      <x:c r="C9" s="17" t="str">
        <x:v>SCA3</x:v>
      </x:c>
      <x:c r="D9" s="17" t="str">
        <x:v>SCA3_08</x:v>
      </x:c>
      <x:c r="E9" s="17" t="str">
        <x:v>train</x:v>
      </x:c>
    </x:row>
    <x:row r="10">
      <x:c r="A10" s="17" t="str">
        <x:v>sca3_leave_one_cell_out</x:v>
      </x:c>
      <x:c r="B10" s="17" t="n">
        <x:v>0</x:v>
      </x:c>
      <x:c r="C10" s="17" t="str">
        <x:v>SCA3</x:v>
      </x:c>
      <x:c r="D10" s="17" t="str">
        <x:v>SCA3_09</x:v>
      </x:c>
      <x:c r="E10" s="17" t="str">
        <x:v>train</x:v>
      </x:c>
    </x:row>
    <x:row r="11">
      <x:c r="A11" s="17" t="str">
        <x:v>sca3_leave_one_cell_out</x:v>
      </x:c>
      <x:c r="B11" s="17" t="n">
        <x:v>1</x:v>
      </x:c>
      <x:c r="C11" s="17" t="str">
        <x:v>SCA3</x:v>
      </x:c>
      <x:c r="D11" s="17" t="str">
        <x:v>SCA3_01</x:v>
      </x:c>
      <x:c r="E11" s="17" t="str">
        <x:v>train</x:v>
      </x:c>
    </x:row>
    <x:row r="12">
      <x:c r="A12" s="17" t="str">
        <x:v>sca3_leave_one_cell_out</x:v>
      </x:c>
      <x:c r="B12" s="17" t="n">
        <x:v>1</x:v>
      </x:c>
      <x:c r="C12" s="17" t="str">
        <x:v>SCA3</x:v>
      </x:c>
      <x:c r="D12" s="17" t="str">
        <x:v>SCA3_02</x:v>
      </x:c>
      <x:c r="E12" s="17" t="str">
        <x:v>test</x:v>
      </x:c>
    </x:row>
    <x:row r="13">
      <x:c r="A13" s="17" t="str">
        <x:v>sca3_leave_one_cell_out</x:v>
      </x:c>
      <x:c r="B13" s="17" t="n">
        <x:v>1</x:v>
      </x:c>
      <x:c r="C13" s="17" t="str">
        <x:v>SCA3</x:v>
      </x:c>
      <x:c r="D13" s="17" t="str">
        <x:v>SCA3_03</x:v>
      </x:c>
      <x:c r="E13" s="17" t="str">
        <x:v>train</x:v>
      </x:c>
    </x:row>
    <x:row r="14">
      <x:c r="A14" s="17" t="str">
        <x:v>sca3_leave_one_cell_out</x:v>
      </x:c>
      <x:c r="B14" s="17" t="n">
        <x:v>1</x:v>
      </x:c>
      <x:c r="C14" s="17" t="str">
        <x:v>SCA3</x:v>
      </x:c>
      <x:c r="D14" s="17" t="str">
        <x:v>SCA3_04</x:v>
      </x:c>
      <x:c r="E14" s="17" t="str">
        <x:v>train</x:v>
      </x:c>
    </x:row>
    <x:row r="15">
      <x:c r="A15" s="17" t="str">
        <x:v>sca3_leave_one_cell_out</x:v>
      </x:c>
      <x:c r="B15" s="17" t="n">
        <x:v>1</x:v>
      </x:c>
      <x:c r="C15" s="17" t="str">
        <x:v>SCA3</x:v>
      </x:c>
      <x:c r="D15" s="17" t="str">
        <x:v>SCA3_05</x:v>
      </x:c>
      <x:c r="E15" s="17" t="str">
        <x:v>train</x:v>
      </x:c>
    </x:row>
    <x:row r="16">
      <x:c r="A16" s="17" t="str">
        <x:v>sca3_leave_one_cell_out</x:v>
      </x:c>
      <x:c r="B16" s="17" t="n">
        <x:v>1</x:v>
      </x:c>
      <x:c r="C16" s="17" t="str">
        <x:v>SCA3</x:v>
      </x:c>
      <x:c r="D16" s="17" t="str">
        <x:v>SCA3_06</x:v>
      </x:c>
      <x:c r="E16" s="17" t="str">
        <x:v>train</x:v>
      </x:c>
    </x:row>
    <x:row r="17">
      <x:c r="A17" s="17" t="str">
        <x:v>sca3_leave_one_cell_out</x:v>
      </x:c>
      <x:c r="B17" s="17" t="n">
        <x:v>1</x:v>
      </x:c>
      <x:c r="C17" s="17" t="str">
        <x:v>SCA3</x:v>
      </x:c>
      <x:c r="D17" s="17" t="str">
        <x:v>SCA3_07</x:v>
      </x:c>
      <x:c r="E17" s="17" t="str">
        <x:v>train</x:v>
      </x:c>
    </x:row>
    <x:row r="18">
      <x:c r="A18" s="17" t="str">
        <x:v>sca3_leave_one_cell_out</x:v>
      </x:c>
      <x:c r="B18" s="17" t="n">
        <x:v>1</x:v>
      </x:c>
      <x:c r="C18" s="17" t="str">
        <x:v>SCA3</x:v>
      </x:c>
      <x:c r="D18" s="17" t="str">
        <x:v>SCA3_08</x:v>
      </x:c>
      <x:c r="E18" s="17" t="str">
        <x:v>train</x:v>
      </x:c>
    </x:row>
    <x:row r="19">
      <x:c r="A19" s="17" t="str">
        <x:v>sca3_leave_one_cell_out</x:v>
      </x:c>
      <x:c r="B19" s="17" t="n">
        <x:v>1</x:v>
      </x:c>
      <x:c r="C19" s="17" t="str">
        <x:v>SCA3</x:v>
      </x:c>
      <x:c r="D19" s="17" t="str">
        <x:v>SCA3_09</x:v>
      </x:c>
      <x:c r="E19" s="17" t="str">
        <x:v>train</x:v>
      </x:c>
    </x:row>
    <x:row r="20">
      <x:c r="A20" s="17" t="str">
        <x:v>sca3_leave_one_cell_out</x:v>
      </x:c>
      <x:c r="B20" s="17" t="n">
        <x:v>2</x:v>
      </x:c>
      <x:c r="C20" s="17" t="str">
        <x:v>SCA3</x:v>
      </x:c>
      <x:c r="D20" s="17" t="str">
        <x:v>SCA3_01</x:v>
      </x:c>
      <x:c r="E20" s="17" t="str">
        <x:v>train</x:v>
      </x:c>
    </x:row>
    <x:row r="21">
      <x:c r="A21" s="17" t="str">
        <x:v>sca3_leave_one_cell_out</x:v>
      </x:c>
      <x:c r="B21" s="17" t="n">
        <x:v>2</x:v>
      </x:c>
      <x:c r="C21" s="17" t="str">
        <x:v>SCA3</x:v>
      </x:c>
      <x:c r="D21" s="17" t="str">
        <x:v>SCA3_02</x:v>
      </x:c>
      <x:c r="E21" s="17" t="str">
        <x:v>train</x:v>
      </x:c>
    </x:row>
    <x:row r="22">
      <x:c r="A22" s="17" t="str">
        <x:v>sca3_leave_one_cell_out</x:v>
      </x:c>
      <x:c r="B22" s="17" t="n">
        <x:v>2</x:v>
      </x:c>
      <x:c r="C22" s="17" t="str">
        <x:v>SCA3</x:v>
      </x:c>
      <x:c r="D22" s="17" t="str">
        <x:v>SCA3_03</x:v>
      </x:c>
      <x:c r="E22" s="17" t="str">
        <x:v>test</x:v>
      </x:c>
    </x:row>
    <x:row r="23">
      <x:c r="A23" s="17" t="str">
        <x:v>sca3_leave_one_cell_out</x:v>
      </x:c>
      <x:c r="B23" s="17" t="n">
        <x:v>2</x:v>
      </x:c>
      <x:c r="C23" s="17" t="str">
        <x:v>SCA3</x:v>
      </x:c>
      <x:c r="D23" s="17" t="str">
        <x:v>SCA3_04</x:v>
      </x:c>
      <x:c r="E23" s="17" t="str">
        <x:v>train</x:v>
      </x:c>
    </x:row>
    <x:row r="24">
      <x:c r="A24" s="17" t="str">
        <x:v>sca3_leave_one_cell_out</x:v>
      </x:c>
      <x:c r="B24" s="17" t="n">
        <x:v>2</x:v>
      </x:c>
      <x:c r="C24" s="17" t="str">
        <x:v>SCA3</x:v>
      </x:c>
      <x:c r="D24" s="17" t="str">
        <x:v>SCA3_05</x:v>
      </x:c>
      <x:c r="E24" s="17" t="str">
        <x:v>train</x:v>
      </x:c>
    </x:row>
    <x:row r="25">
      <x:c r="A25" s="17" t="str">
        <x:v>sca3_leave_one_cell_out</x:v>
      </x:c>
      <x:c r="B25" s="17" t="n">
        <x:v>2</x:v>
      </x:c>
      <x:c r="C25" s="17" t="str">
        <x:v>SCA3</x:v>
      </x:c>
      <x:c r="D25" s="17" t="str">
        <x:v>SCA3_06</x:v>
      </x:c>
      <x:c r="E25" s="17" t="str">
        <x:v>train</x:v>
      </x:c>
    </x:row>
    <x:row r="26">
      <x:c r="A26" s="17" t="str">
        <x:v>sca3_leave_one_cell_out</x:v>
      </x:c>
      <x:c r="B26" s="17" t="n">
        <x:v>2</x:v>
      </x:c>
      <x:c r="C26" s="17" t="str">
        <x:v>SCA3</x:v>
      </x:c>
      <x:c r="D26" s="17" t="str">
        <x:v>SCA3_07</x:v>
      </x:c>
      <x:c r="E26" s="17" t="str">
        <x:v>train</x:v>
      </x:c>
    </x:row>
    <x:row r="27">
      <x:c r="A27" s="17" t="str">
        <x:v>sca3_leave_one_cell_out</x:v>
      </x:c>
      <x:c r="B27" s="17" t="n">
        <x:v>2</x:v>
      </x:c>
      <x:c r="C27" s="17" t="str">
        <x:v>SCA3</x:v>
      </x:c>
      <x:c r="D27" s="17" t="str">
        <x:v>SCA3_08</x:v>
      </x:c>
      <x:c r="E27" s="17" t="str">
        <x:v>train</x:v>
      </x:c>
    </x:row>
    <x:row r="28">
      <x:c r="A28" s="17" t="str">
        <x:v>sca3_leave_one_cell_out</x:v>
      </x:c>
      <x:c r="B28" s="17" t="n">
        <x:v>2</x:v>
      </x:c>
      <x:c r="C28" s="17" t="str">
        <x:v>SCA3</x:v>
      </x:c>
      <x:c r="D28" s="17" t="str">
        <x:v>SCA3_09</x:v>
      </x:c>
      <x:c r="E28" s="17" t="str">
        <x:v>train</x:v>
      </x:c>
    </x:row>
    <x:row r="29">
      <x:c r="A29" s="17" t="str">
        <x:v>sca3_leave_one_cell_out</x:v>
      </x:c>
      <x:c r="B29" s="17" t="n">
        <x:v>3</x:v>
      </x:c>
      <x:c r="C29" s="17" t="str">
        <x:v>SCA3</x:v>
      </x:c>
      <x:c r="D29" s="17" t="str">
        <x:v>SCA3_01</x:v>
      </x:c>
      <x:c r="E29" s="17" t="str">
        <x:v>train</x:v>
      </x:c>
    </x:row>
    <x:row r="30">
      <x:c r="A30" s="17" t="str">
        <x:v>sca3_leave_one_cell_out</x:v>
      </x:c>
      <x:c r="B30" s="17" t="n">
        <x:v>3</x:v>
      </x:c>
      <x:c r="C30" s="17" t="str">
        <x:v>SCA3</x:v>
      </x:c>
      <x:c r="D30" s="17" t="str">
        <x:v>SCA3_02</x:v>
      </x:c>
      <x:c r="E30" s="17" t="str">
        <x:v>train</x:v>
      </x:c>
    </x:row>
    <x:row r="31">
      <x:c r="A31" s="17" t="str">
        <x:v>sca3_leave_one_cell_out</x:v>
      </x:c>
      <x:c r="B31" s="17" t="n">
        <x:v>3</x:v>
      </x:c>
      <x:c r="C31" s="17" t="str">
        <x:v>SCA3</x:v>
      </x:c>
      <x:c r="D31" s="17" t="str">
        <x:v>SCA3_03</x:v>
      </x:c>
      <x:c r="E31" s="17" t="str">
        <x:v>train</x:v>
      </x:c>
    </x:row>
    <x:row r="32">
      <x:c r="A32" s="17" t="str">
        <x:v>sca3_leave_one_cell_out</x:v>
      </x:c>
      <x:c r="B32" s="17" t="n">
        <x:v>3</x:v>
      </x:c>
      <x:c r="C32" s="17" t="str">
        <x:v>SCA3</x:v>
      </x:c>
      <x:c r="D32" s="17" t="str">
        <x:v>SCA3_04</x:v>
      </x:c>
      <x:c r="E32" s="17" t="str">
        <x:v>test</x:v>
      </x:c>
    </x:row>
    <x:row r="33">
      <x:c r="A33" s="17" t="str">
        <x:v>sca3_leave_one_cell_out</x:v>
      </x:c>
      <x:c r="B33" s="17" t="n">
        <x:v>3</x:v>
      </x:c>
      <x:c r="C33" s="17" t="str">
        <x:v>SCA3</x:v>
      </x:c>
      <x:c r="D33" s="17" t="str">
        <x:v>SCA3_05</x:v>
      </x:c>
      <x:c r="E33" s="17" t="str">
        <x:v>train</x:v>
      </x:c>
    </x:row>
    <x:row r="34">
      <x:c r="A34" s="17" t="str">
        <x:v>sca3_leave_one_cell_out</x:v>
      </x:c>
      <x:c r="B34" s="17" t="n">
        <x:v>3</x:v>
      </x:c>
      <x:c r="C34" s="17" t="str">
        <x:v>SCA3</x:v>
      </x:c>
      <x:c r="D34" s="17" t="str">
        <x:v>SCA3_06</x:v>
      </x:c>
      <x:c r="E34" s="17" t="str">
        <x:v>train</x:v>
      </x:c>
    </x:row>
    <x:row r="35">
      <x:c r="A35" s="17" t="str">
        <x:v>sca3_leave_one_cell_out</x:v>
      </x:c>
      <x:c r="B35" s="17" t="n">
        <x:v>3</x:v>
      </x:c>
      <x:c r="C35" s="17" t="str">
        <x:v>SCA3</x:v>
      </x:c>
      <x:c r="D35" s="17" t="str">
        <x:v>SCA3_07</x:v>
      </x:c>
      <x:c r="E35" s="17" t="str">
        <x:v>train</x:v>
      </x:c>
    </x:row>
    <x:row r="36">
      <x:c r="A36" s="17" t="str">
        <x:v>sca3_leave_one_cell_out</x:v>
      </x:c>
      <x:c r="B36" s="17" t="n">
        <x:v>3</x:v>
      </x:c>
      <x:c r="C36" s="17" t="str">
        <x:v>SCA3</x:v>
      </x:c>
      <x:c r="D36" s="17" t="str">
        <x:v>SCA3_08</x:v>
      </x:c>
      <x:c r="E36" s="17" t="str">
        <x:v>train</x:v>
      </x:c>
    </x:row>
    <x:row r="37">
      <x:c r="A37" s="17" t="str">
        <x:v>sca3_leave_one_cell_out</x:v>
      </x:c>
      <x:c r="B37" s="17" t="n">
        <x:v>3</x:v>
      </x:c>
      <x:c r="C37" s="17" t="str">
        <x:v>SCA3</x:v>
      </x:c>
      <x:c r="D37" s="17" t="str">
        <x:v>SCA3_09</x:v>
      </x:c>
      <x:c r="E37" s="17" t="str">
        <x:v>train</x:v>
      </x:c>
    </x:row>
    <x:row r="38">
      <x:c r="A38" s="17" t="str">
        <x:v>sca3_leave_one_cell_out</x:v>
      </x:c>
      <x:c r="B38" s="17" t="n">
        <x:v>4</x:v>
      </x:c>
      <x:c r="C38" s="17" t="str">
        <x:v>SCA3</x:v>
      </x:c>
      <x:c r="D38" s="17" t="str">
        <x:v>SCA3_01</x:v>
      </x:c>
      <x:c r="E38" s="17" t="str">
        <x:v>train</x:v>
      </x:c>
    </x:row>
    <x:row r="39">
      <x:c r="A39" s="17" t="str">
        <x:v>sca3_leave_one_cell_out</x:v>
      </x:c>
      <x:c r="B39" s="17" t="n">
        <x:v>4</x:v>
      </x:c>
      <x:c r="C39" s="17" t="str">
        <x:v>SCA3</x:v>
      </x:c>
      <x:c r="D39" s="17" t="str">
        <x:v>SCA3_02</x:v>
      </x:c>
      <x:c r="E39" s="17" t="str">
        <x:v>train</x:v>
      </x:c>
    </x:row>
    <x:row r="40">
      <x:c r="A40" s="17" t="str">
        <x:v>sca3_leave_one_cell_out</x:v>
      </x:c>
      <x:c r="B40" s="17" t="n">
        <x:v>4</x:v>
      </x:c>
      <x:c r="C40" s="17" t="str">
        <x:v>SCA3</x:v>
      </x:c>
      <x:c r="D40" s="17" t="str">
        <x:v>SCA3_03</x:v>
      </x:c>
      <x:c r="E40" s="17" t="str">
        <x:v>train</x:v>
      </x:c>
    </x:row>
    <x:row r="41">
      <x:c r="A41" s="17" t="str">
        <x:v>sca3_leave_one_cell_out</x:v>
      </x:c>
      <x:c r="B41" s="17" t="n">
        <x:v>4</x:v>
      </x:c>
      <x:c r="C41" s="17" t="str">
        <x:v>SCA3</x:v>
      </x:c>
      <x:c r="D41" s="17" t="str">
        <x:v>SCA3_04</x:v>
      </x:c>
      <x:c r="E41" s="17" t="str">
        <x:v>train</x:v>
      </x:c>
    </x:row>
    <x:row r="42">
      <x:c r="A42" s="17" t="str">
        <x:v>sca3_leave_one_cell_out</x:v>
      </x:c>
      <x:c r="B42" s="17" t="n">
        <x:v>4</x:v>
      </x:c>
      <x:c r="C42" s="17" t="str">
        <x:v>SCA3</x:v>
      </x:c>
      <x:c r="D42" s="17" t="str">
        <x:v>SCA3_05</x:v>
      </x:c>
      <x:c r="E42" s="17" t="str">
        <x:v>test</x:v>
      </x:c>
    </x:row>
    <x:row r="43">
      <x:c r="A43" s="17" t="str">
        <x:v>sca3_leave_one_cell_out</x:v>
      </x:c>
      <x:c r="B43" s="17" t="n">
        <x:v>4</x:v>
      </x:c>
      <x:c r="C43" s="17" t="str">
        <x:v>SCA3</x:v>
      </x:c>
      <x:c r="D43" s="17" t="str">
        <x:v>SCA3_06</x:v>
      </x:c>
      <x:c r="E43" s="17" t="str">
        <x:v>train</x:v>
      </x:c>
    </x:row>
    <x:row r="44">
      <x:c r="A44" s="17" t="str">
        <x:v>sca3_leave_one_cell_out</x:v>
      </x:c>
      <x:c r="B44" s="17" t="n">
        <x:v>4</x:v>
      </x:c>
      <x:c r="C44" s="17" t="str">
        <x:v>SCA3</x:v>
      </x:c>
      <x:c r="D44" s="17" t="str">
        <x:v>SCA3_07</x:v>
      </x:c>
      <x:c r="E44" s="17" t="str">
        <x:v>train</x:v>
      </x:c>
    </x:row>
    <x:row r="45">
      <x:c r="A45" s="17" t="str">
        <x:v>sca3_leave_one_cell_out</x:v>
      </x:c>
      <x:c r="B45" s="17" t="n">
        <x:v>4</x:v>
      </x:c>
      <x:c r="C45" s="17" t="str">
        <x:v>SCA3</x:v>
      </x:c>
      <x:c r="D45" s="17" t="str">
        <x:v>SCA3_08</x:v>
      </x:c>
      <x:c r="E45" s="17" t="str">
        <x:v>train</x:v>
      </x:c>
    </x:row>
    <x:row r="46">
      <x:c r="A46" s="17" t="str">
        <x:v>sca3_leave_one_cell_out</x:v>
      </x:c>
      <x:c r="B46" s="17" t="n">
        <x:v>4</x:v>
      </x:c>
      <x:c r="C46" s="17" t="str">
        <x:v>SCA3</x:v>
      </x:c>
      <x:c r="D46" s="17" t="str">
        <x:v>SCA3_09</x:v>
      </x:c>
      <x:c r="E46" s="17" t="str">
        <x:v>train</x:v>
      </x:c>
    </x:row>
    <x:row r="47">
      <x:c r="A47" s="17" t="str">
        <x:v>sca3_leave_one_cell_out</x:v>
      </x:c>
      <x:c r="B47" s="17" t="n">
        <x:v>5</x:v>
      </x:c>
      <x:c r="C47" s="17" t="str">
        <x:v>SCA3</x:v>
      </x:c>
      <x:c r="D47" s="17" t="str">
        <x:v>SCA3_01</x:v>
      </x:c>
      <x:c r="E47" s="17" t="str">
        <x:v>train</x:v>
      </x:c>
    </x:row>
    <x:row r="48">
      <x:c r="A48" s="17" t="str">
        <x:v>sca3_leave_one_cell_out</x:v>
      </x:c>
      <x:c r="B48" s="17" t="n">
        <x:v>5</x:v>
      </x:c>
      <x:c r="C48" s="17" t="str">
        <x:v>SCA3</x:v>
      </x:c>
      <x:c r="D48" s="17" t="str">
        <x:v>SCA3_02</x:v>
      </x:c>
      <x:c r="E48" s="17" t="str">
        <x:v>train</x:v>
      </x:c>
    </x:row>
    <x:row r="49">
      <x:c r="A49" s="17" t="str">
        <x:v>sca3_leave_one_cell_out</x:v>
      </x:c>
      <x:c r="B49" s="17" t="n">
        <x:v>5</x:v>
      </x:c>
      <x:c r="C49" s="17" t="str">
        <x:v>SCA3</x:v>
      </x:c>
      <x:c r="D49" s="17" t="str">
        <x:v>SCA3_03</x:v>
      </x:c>
      <x:c r="E49" s="17" t="str">
        <x:v>train</x:v>
      </x:c>
    </x:row>
    <x:row r="50">
      <x:c r="A50" s="17" t="str">
        <x:v>sca3_leave_one_cell_out</x:v>
      </x:c>
      <x:c r="B50" s="17" t="n">
        <x:v>5</x:v>
      </x:c>
      <x:c r="C50" s="17" t="str">
        <x:v>SCA3</x:v>
      </x:c>
      <x:c r="D50" s="17" t="str">
        <x:v>SCA3_04</x:v>
      </x:c>
      <x:c r="E50" s="17" t="str">
        <x:v>train</x:v>
      </x:c>
    </x:row>
    <x:row r="51">
      <x:c r="A51" s="17" t="str">
        <x:v>sca3_leave_one_cell_out</x:v>
      </x:c>
      <x:c r="B51" s="17" t="n">
        <x:v>5</x:v>
      </x:c>
      <x:c r="C51" s="17" t="str">
        <x:v>SCA3</x:v>
      </x:c>
      <x:c r="D51" s="17" t="str">
        <x:v>SCA3_05</x:v>
      </x:c>
      <x:c r="E51" s="17" t="str">
        <x:v>train</x:v>
      </x:c>
    </x:row>
    <x:row r="52">
      <x:c r="A52" s="17" t="str">
        <x:v>sca3_leave_one_cell_out</x:v>
      </x:c>
      <x:c r="B52" s="17" t="n">
        <x:v>5</x:v>
      </x:c>
      <x:c r="C52" s="17" t="str">
        <x:v>SCA3</x:v>
      </x:c>
      <x:c r="D52" s="17" t="str">
        <x:v>SCA3_06</x:v>
      </x:c>
      <x:c r="E52" s="17" t="str">
        <x:v>test</x:v>
      </x:c>
    </x:row>
    <x:row r="53">
      <x:c r="A53" s="17" t="str">
        <x:v>sca3_leave_one_cell_out</x:v>
      </x:c>
      <x:c r="B53" s="17" t="n">
        <x:v>5</x:v>
      </x:c>
      <x:c r="C53" s="17" t="str">
        <x:v>SCA3</x:v>
      </x:c>
      <x:c r="D53" s="17" t="str">
        <x:v>SCA3_07</x:v>
      </x:c>
      <x:c r="E53" s="17" t="str">
        <x:v>train</x:v>
      </x:c>
    </x:row>
    <x:row r="54">
      <x:c r="A54" s="17" t="str">
        <x:v>sca3_leave_one_cell_out</x:v>
      </x:c>
      <x:c r="B54" s="17" t="n">
        <x:v>5</x:v>
      </x:c>
      <x:c r="C54" s="17" t="str">
        <x:v>SCA3</x:v>
      </x:c>
      <x:c r="D54" s="17" t="str">
        <x:v>SCA3_08</x:v>
      </x:c>
      <x:c r="E54" s="17" t="str">
        <x:v>train</x:v>
      </x:c>
    </x:row>
    <x:row r="55">
      <x:c r="A55" s="17" t="str">
        <x:v>sca3_leave_one_cell_out</x:v>
      </x:c>
      <x:c r="B55" s="17" t="n">
        <x:v>5</x:v>
      </x:c>
      <x:c r="C55" s="17" t="str">
        <x:v>SCA3</x:v>
      </x:c>
      <x:c r="D55" s="17" t="str">
        <x:v>SCA3_09</x:v>
      </x:c>
      <x:c r="E55" s="17" t="str">
        <x:v>train</x:v>
      </x:c>
    </x:row>
    <x:row r="56">
      <x:c r="A56" s="17" t="str">
        <x:v>sca3_leave_one_cell_out</x:v>
      </x:c>
      <x:c r="B56" s="17" t="n">
        <x:v>6</x:v>
      </x:c>
      <x:c r="C56" s="17" t="str">
        <x:v>SCA3</x:v>
      </x:c>
      <x:c r="D56" s="17" t="str">
        <x:v>SCA3_01</x:v>
      </x:c>
      <x:c r="E56" s="17" t="str">
        <x:v>train</x:v>
      </x:c>
    </x:row>
    <x:row r="57">
      <x:c r="A57" s="17" t="str">
        <x:v>sca3_leave_one_cell_out</x:v>
      </x:c>
      <x:c r="B57" s="17" t="n">
        <x:v>6</x:v>
      </x:c>
      <x:c r="C57" s="17" t="str">
        <x:v>SCA3</x:v>
      </x:c>
      <x:c r="D57" s="17" t="str">
        <x:v>SCA3_02</x:v>
      </x:c>
      <x:c r="E57" s="17" t="str">
        <x:v>train</x:v>
      </x:c>
    </x:row>
    <x:row r="58">
      <x:c r="A58" s="17" t="str">
        <x:v>sca3_leave_one_cell_out</x:v>
      </x:c>
      <x:c r="B58" s="17" t="n">
        <x:v>6</x:v>
      </x:c>
      <x:c r="C58" s="17" t="str">
        <x:v>SCA3</x:v>
      </x:c>
      <x:c r="D58" s="17" t="str">
        <x:v>SCA3_03</x:v>
      </x:c>
      <x:c r="E58" s="17" t="str">
        <x:v>train</x:v>
      </x:c>
    </x:row>
    <x:row r="59">
      <x:c r="A59" s="17" t="str">
        <x:v>sca3_leave_one_cell_out</x:v>
      </x:c>
      <x:c r="B59" s="17" t="n">
        <x:v>6</x:v>
      </x:c>
      <x:c r="C59" s="17" t="str">
        <x:v>SCA3</x:v>
      </x:c>
      <x:c r="D59" s="17" t="str">
        <x:v>SCA3_04</x:v>
      </x:c>
      <x:c r="E59" s="17" t="str">
        <x:v>train</x:v>
      </x:c>
    </x:row>
    <x:row r="60">
      <x:c r="A60" s="17" t="str">
        <x:v>sca3_leave_one_cell_out</x:v>
      </x:c>
      <x:c r="B60" s="17" t="n">
        <x:v>6</x:v>
      </x:c>
      <x:c r="C60" s="17" t="str">
        <x:v>SCA3</x:v>
      </x:c>
      <x:c r="D60" s="17" t="str">
        <x:v>SCA3_05</x:v>
      </x:c>
      <x:c r="E60" s="17" t="str">
        <x:v>train</x:v>
      </x:c>
    </x:row>
    <x:row r="61">
      <x:c r="A61" s="17" t="str">
        <x:v>sca3_leave_one_cell_out</x:v>
      </x:c>
      <x:c r="B61" s="17" t="n">
        <x:v>6</x:v>
      </x:c>
      <x:c r="C61" s="17" t="str">
        <x:v>SCA3</x:v>
      </x:c>
      <x:c r="D61" s="17" t="str">
        <x:v>SCA3_06</x:v>
      </x:c>
      <x:c r="E61" s="17" t="str">
        <x:v>train</x:v>
      </x:c>
    </x:row>
    <x:row r="62">
      <x:c r="A62" s="17" t="str">
        <x:v>sca3_leave_one_cell_out</x:v>
      </x:c>
      <x:c r="B62" s="17" t="n">
        <x:v>6</x:v>
      </x:c>
      <x:c r="C62" s="17" t="str">
        <x:v>SCA3</x:v>
      </x:c>
      <x:c r="D62" s="17" t="str">
        <x:v>SCA3_07</x:v>
      </x:c>
      <x:c r="E62" s="17" t="str">
        <x:v>test</x:v>
      </x:c>
    </x:row>
    <x:row r="63">
      <x:c r="A63" s="17" t="str">
        <x:v>sca3_leave_one_cell_out</x:v>
      </x:c>
      <x:c r="B63" s="17" t="n">
        <x:v>6</x:v>
      </x:c>
      <x:c r="C63" s="17" t="str">
        <x:v>SCA3</x:v>
      </x:c>
      <x:c r="D63" s="17" t="str">
        <x:v>SCA3_08</x:v>
      </x:c>
      <x:c r="E63" s="17" t="str">
        <x:v>train</x:v>
      </x:c>
    </x:row>
    <x:row r="64">
      <x:c r="A64" s="17" t="str">
        <x:v>sca3_leave_one_cell_out</x:v>
      </x:c>
      <x:c r="B64" s="17" t="n">
        <x:v>6</x:v>
      </x:c>
      <x:c r="C64" s="17" t="str">
        <x:v>SCA3</x:v>
      </x:c>
      <x:c r="D64" s="17" t="str">
        <x:v>SCA3_09</x:v>
      </x:c>
      <x:c r="E64" s="17" t="str">
        <x:v>train</x:v>
      </x:c>
    </x:row>
    <x:row r="65">
      <x:c r="A65" s="17" t="str">
        <x:v>sca3_leave_one_cell_out</x:v>
      </x:c>
      <x:c r="B65" s="17" t="n">
        <x:v>7</x:v>
      </x:c>
      <x:c r="C65" s="17" t="str">
        <x:v>SCA3</x:v>
      </x:c>
      <x:c r="D65" s="17" t="str">
        <x:v>SCA3_01</x:v>
      </x:c>
      <x:c r="E65" s="17" t="str">
        <x:v>train</x:v>
      </x:c>
    </x:row>
    <x:row r="66">
      <x:c r="A66" s="17" t="str">
        <x:v>sca3_leave_one_cell_out</x:v>
      </x:c>
      <x:c r="B66" s="17" t="n">
        <x:v>7</x:v>
      </x:c>
      <x:c r="C66" s="17" t="str">
        <x:v>SCA3</x:v>
      </x:c>
      <x:c r="D66" s="17" t="str">
        <x:v>SCA3_02</x:v>
      </x:c>
      <x:c r="E66" s="17" t="str">
        <x:v>train</x:v>
      </x:c>
    </x:row>
    <x:row r="67">
      <x:c r="A67" s="17" t="str">
        <x:v>sca3_leave_one_cell_out</x:v>
      </x:c>
      <x:c r="B67" s="17" t="n">
        <x:v>7</x:v>
      </x:c>
      <x:c r="C67" s="17" t="str">
        <x:v>SCA3</x:v>
      </x:c>
      <x:c r="D67" s="17" t="str">
        <x:v>SCA3_03</x:v>
      </x:c>
      <x:c r="E67" s="17" t="str">
        <x:v>train</x:v>
      </x:c>
    </x:row>
    <x:row r="68">
      <x:c r="A68" s="17" t="str">
        <x:v>sca3_leave_one_cell_out</x:v>
      </x:c>
      <x:c r="B68" s="17" t="n">
        <x:v>7</x:v>
      </x:c>
      <x:c r="C68" s="17" t="str">
        <x:v>SCA3</x:v>
      </x:c>
      <x:c r="D68" s="17" t="str">
        <x:v>SCA3_04</x:v>
      </x:c>
      <x:c r="E68" s="17" t="str">
        <x:v>train</x:v>
      </x:c>
    </x:row>
    <x:row r="69">
      <x:c r="A69" s="17" t="str">
        <x:v>sca3_leave_one_cell_out</x:v>
      </x:c>
      <x:c r="B69" s="17" t="n">
        <x:v>7</x:v>
      </x:c>
      <x:c r="C69" s="17" t="str">
        <x:v>SCA3</x:v>
      </x:c>
      <x:c r="D69" s="17" t="str">
        <x:v>SCA3_05</x:v>
      </x:c>
      <x:c r="E69" s="17" t="str">
        <x:v>train</x:v>
      </x:c>
    </x:row>
    <x:row r="70">
      <x:c r="A70" s="17" t="str">
        <x:v>sca3_leave_one_cell_out</x:v>
      </x:c>
      <x:c r="B70" s="17" t="n">
        <x:v>7</x:v>
      </x:c>
      <x:c r="C70" s="17" t="str">
        <x:v>SCA3</x:v>
      </x:c>
      <x:c r="D70" s="17" t="str">
        <x:v>SCA3_06</x:v>
      </x:c>
      <x:c r="E70" s="17" t="str">
        <x:v>train</x:v>
      </x:c>
    </x:row>
    <x:row r="71">
      <x:c r="A71" s="17" t="str">
        <x:v>sca3_leave_one_cell_out</x:v>
      </x:c>
      <x:c r="B71" s="17" t="n">
        <x:v>7</x:v>
      </x:c>
      <x:c r="C71" s="17" t="str">
        <x:v>SCA3</x:v>
      </x:c>
      <x:c r="D71" s="17" t="str">
        <x:v>SCA3_07</x:v>
      </x:c>
      <x:c r="E71" s="17" t="str">
        <x:v>train</x:v>
      </x:c>
    </x:row>
    <x:row r="72">
      <x:c r="A72" s="17" t="str">
        <x:v>sca3_leave_one_cell_out</x:v>
      </x:c>
      <x:c r="B72" s="17" t="n">
        <x:v>7</x:v>
      </x:c>
      <x:c r="C72" s="17" t="str">
        <x:v>SCA3</x:v>
      </x:c>
      <x:c r="D72" s="17" t="str">
        <x:v>SCA3_08</x:v>
      </x:c>
      <x:c r="E72" s="17" t="str">
        <x:v>test</x:v>
      </x:c>
    </x:row>
    <x:row r="73">
      <x:c r="A73" s="17" t="str">
        <x:v>sca3_leave_one_cell_out</x:v>
      </x:c>
      <x:c r="B73" s="17" t="n">
        <x:v>7</x:v>
      </x:c>
      <x:c r="C73" s="17" t="str">
        <x:v>SCA3</x:v>
      </x:c>
      <x:c r="D73" s="17" t="str">
        <x:v>SCA3_09</x:v>
      </x:c>
      <x:c r="E73" s="17" t="str">
        <x:v>train</x:v>
      </x:c>
    </x:row>
    <x:row r="74">
      <x:c r="A74" s="17" t="str">
        <x:v>sca3_leave_one_cell_out</x:v>
      </x:c>
      <x:c r="B74" s="17" t="n">
        <x:v>8</x:v>
      </x:c>
      <x:c r="C74" s="17" t="str">
        <x:v>SCA3</x:v>
      </x:c>
      <x:c r="D74" s="17" t="str">
        <x:v>SCA3_01</x:v>
      </x:c>
      <x:c r="E74" s="17" t="str">
        <x:v>train</x:v>
      </x:c>
    </x:row>
    <x:row r="75">
      <x:c r="A75" s="17" t="str">
        <x:v>sca3_leave_one_cell_out</x:v>
      </x:c>
      <x:c r="B75" s="17" t="n">
        <x:v>8</x:v>
      </x:c>
      <x:c r="C75" s="17" t="str">
        <x:v>SCA3</x:v>
      </x:c>
      <x:c r="D75" s="17" t="str">
        <x:v>SCA3_02</x:v>
      </x:c>
      <x:c r="E75" s="17" t="str">
        <x:v>train</x:v>
      </x:c>
    </x:row>
    <x:row r="76">
      <x:c r="A76" s="17" t="str">
        <x:v>sca3_leave_one_cell_out</x:v>
      </x:c>
      <x:c r="B76" s="17" t="n">
        <x:v>8</x:v>
      </x:c>
      <x:c r="C76" s="17" t="str">
        <x:v>SCA3</x:v>
      </x:c>
      <x:c r="D76" s="17" t="str">
        <x:v>SCA3_03</x:v>
      </x:c>
      <x:c r="E76" s="17" t="str">
        <x:v>train</x:v>
      </x:c>
    </x:row>
    <x:row r="77">
      <x:c r="A77" s="17" t="str">
        <x:v>sca3_leave_one_cell_out</x:v>
      </x:c>
      <x:c r="B77" s="17" t="n">
        <x:v>8</x:v>
      </x:c>
      <x:c r="C77" s="17" t="str">
        <x:v>SCA3</x:v>
      </x:c>
      <x:c r="D77" s="17" t="str">
        <x:v>SCA3_04</x:v>
      </x:c>
      <x:c r="E77" s="17" t="str">
        <x:v>train</x:v>
      </x:c>
    </x:row>
    <x:row r="78">
      <x:c r="A78" s="17" t="str">
        <x:v>sca3_leave_one_cell_out</x:v>
      </x:c>
      <x:c r="B78" s="17" t="n">
        <x:v>8</x:v>
      </x:c>
      <x:c r="C78" s="17" t="str">
        <x:v>SCA3</x:v>
      </x:c>
      <x:c r="D78" s="17" t="str">
        <x:v>SCA3_05</x:v>
      </x:c>
      <x:c r="E78" s="17" t="str">
        <x:v>train</x:v>
      </x:c>
    </x:row>
    <x:row r="79">
      <x:c r="A79" s="17" t="str">
        <x:v>sca3_leave_one_cell_out</x:v>
      </x:c>
      <x:c r="B79" s="17" t="n">
        <x:v>8</x:v>
      </x:c>
      <x:c r="C79" s="17" t="str">
        <x:v>SCA3</x:v>
      </x:c>
      <x:c r="D79" s="17" t="str">
        <x:v>SCA3_06</x:v>
      </x:c>
      <x:c r="E79" s="17" t="str">
        <x:v>train</x:v>
      </x:c>
    </x:row>
    <x:row r="80">
      <x:c r="A80" s="17" t="str">
        <x:v>sca3_leave_one_cell_out</x:v>
      </x:c>
      <x:c r="B80" s="17" t="n">
        <x:v>8</x:v>
      </x:c>
      <x:c r="C80" s="17" t="str">
        <x:v>SCA3</x:v>
      </x:c>
      <x:c r="D80" s="17" t="str">
        <x:v>SCA3_07</x:v>
      </x:c>
      <x:c r="E80" s="17" t="str">
        <x:v>train</x:v>
      </x:c>
    </x:row>
    <x:row r="81">
      <x:c r="A81" s="17" t="str">
        <x:v>sca3_leave_one_cell_out</x:v>
      </x:c>
      <x:c r="B81" s="17" t="n">
        <x:v>8</x:v>
      </x:c>
      <x:c r="C81" s="17" t="str">
        <x:v>SCA3</x:v>
      </x:c>
      <x:c r="D81" s="17" t="str">
        <x:v>SCA3_08</x:v>
      </x:c>
      <x:c r="E81" s="17" t="str">
        <x:v>train</x:v>
      </x:c>
    </x:row>
    <x:row r="82">
      <x:c r="A82" s="17" t="str">
        <x:v>sca3_leave_one_cell_out</x:v>
      </x:c>
      <x:c r="B82" s="17" t="n">
        <x:v>8</x:v>
      </x:c>
      <x:c r="C82" s="17" t="str">
        <x:v>SCA3</x:v>
      </x:c>
      <x:c r="D82" s="17" t="str">
        <x:v>SCA3_09</x:v>
      </x:c>
      <x:c r="E82" s="17" t="str">
        <x:v>test</x:v>
      </x:c>
    </x:row>
    <x:row r="83">
      <x:c r="A83" s="17" t="str">
        <x:v>wt_fivefold_complete_cell</x:v>
      </x:c>
      <x:c r="B83" s="17" t="n">
        <x:v>0</x:v>
      </x:c>
      <x:c r="C83" s="17" t="str">
        <x:v>WT</x:v>
      </x:c>
      <x:c r="D83" s="17" t="str">
        <x:v>WT_01</x:v>
      </x:c>
      <x:c r="E83" s="17" t="str">
        <x:v>test</x:v>
      </x:c>
    </x:row>
    <x:row r="84">
      <x:c r="A84" s="17" t="str">
        <x:v>wt_fivefold_complete_cell</x:v>
      </x:c>
      <x:c r="B84" s="17" t="n">
        <x:v>0</x:v>
      </x:c>
      <x:c r="C84" s="17" t="str">
        <x:v>WT</x:v>
      </x:c>
      <x:c r="D84" s="17" t="str">
        <x:v>WT_02</x:v>
      </x:c>
      <x:c r="E84" s="17" t="str">
        <x:v>train</x:v>
      </x:c>
    </x:row>
    <x:row r="85">
      <x:c r="A85" s="17" t="str">
        <x:v>wt_fivefold_complete_cell</x:v>
      </x:c>
      <x:c r="B85" s="17" t="n">
        <x:v>0</x:v>
      </x:c>
      <x:c r="C85" s="17" t="str">
        <x:v>WT</x:v>
      </x:c>
      <x:c r="D85" s="17" t="str">
        <x:v>WT_03</x:v>
      </x:c>
      <x:c r="E85" s="17" t="str">
        <x:v>test</x:v>
      </x:c>
    </x:row>
    <x:row r="86">
      <x:c r="A86" s="17" t="str">
        <x:v>wt_fivefold_complete_cell</x:v>
      </x:c>
      <x:c r="B86" s="17" t="n">
        <x:v>0</x:v>
      </x:c>
      <x:c r="C86" s="17" t="str">
        <x:v>WT</x:v>
      </x:c>
      <x:c r="D86" s="17" t="str">
        <x:v>WT_04</x:v>
      </x:c>
      <x:c r="E86" s="17" t="str">
        <x:v>train</x:v>
      </x:c>
    </x:row>
    <x:row r="87">
      <x:c r="A87" s="17" t="str">
        <x:v>wt_fivefold_complete_cell</x:v>
      </x:c>
      <x:c r="B87" s="17" t="n">
        <x:v>0</x:v>
      </x:c>
      <x:c r="C87" s="17" t="str">
        <x:v>WT</x:v>
      </x:c>
      <x:c r="D87" s="17" t="str">
        <x:v>WT_05</x:v>
      </x:c>
      <x:c r="E87" s="17" t="str">
        <x:v>train</x:v>
      </x:c>
    </x:row>
    <x:row r="88">
      <x:c r="A88" s="17" t="str">
        <x:v>wt_fivefold_complete_cell</x:v>
      </x:c>
      <x:c r="B88" s="17" t="n">
        <x:v>0</x:v>
      </x:c>
      <x:c r="C88" s="17" t="str">
        <x:v>WT</x:v>
      </x:c>
      <x:c r="D88" s="17" t="str">
        <x:v>WT_06</x:v>
      </x:c>
      <x:c r="E88" s="17" t="str">
        <x:v>train</x:v>
      </x:c>
    </x:row>
    <x:row r="89">
      <x:c r="A89" s="17" t="str">
        <x:v>wt_fivefold_complete_cell</x:v>
      </x:c>
      <x:c r="B89" s="17" t="n">
        <x:v>0</x:v>
      </x:c>
      <x:c r="C89" s="17" t="str">
        <x:v>WT</x:v>
      </x:c>
      <x:c r="D89" s="17" t="str">
        <x:v>WT_07</x:v>
      </x:c>
      <x:c r="E89" s="17" t="str">
        <x:v>train</x:v>
      </x:c>
    </x:row>
    <x:row r="90">
      <x:c r="A90" s="17" t="str">
        <x:v>wt_fivefold_complete_cell</x:v>
      </x:c>
      <x:c r="B90" s="17" t="n">
        <x:v>0</x:v>
      </x:c>
      <x:c r="C90" s="17" t="str">
        <x:v>WT</x:v>
      </x:c>
      <x:c r="D90" s="17" t="str">
        <x:v>WT_08</x:v>
      </x:c>
      <x:c r="E90" s="17" t="str">
        <x:v>train</x:v>
      </x:c>
    </x:row>
    <x:row r="91">
      <x:c r="A91" s="17" t="str">
        <x:v>wt_fivefold_complete_cell</x:v>
      </x:c>
      <x:c r="B91" s="17" t="n">
        <x:v>0</x:v>
      </x:c>
      <x:c r="C91" s="17" t="str">
        <x:v>WT</x:v>
      </x:c>
      <x:c r="D91" s="17" t="str">
        <x:v>WT_09</x:v>
      </x:c>
      <x:c r="E91" s="17" t="str">
        <x:v>test</x:v>
      </x:c>
    </x:row>
    <x:row r="92">
      <x:c r="A92" s="17" t="str">
        <x:v>wt_fivefold_complete_cell</x:v>
      </x:c>
      <x:c r="B92" s="17" t="n">
        <x:v>0</x:v>
      </x:c>
      <x:c r="C92" s="17" t="str">
        <x:v>WT</x:v>
      </x:c>
      <x:c r="D92" s="17" t="str">
        <x:v>WT_10</x:v>
      </x:c>
      <x:c r="E92" s="17" t="str">
        <x:v>train</x:v>
      </x:c>
    </x:row>
    <x:row r="93">
      <x:c r="A93" s="17" t="str">
        <x:v>wt_fivefold_complete_cell</x:v>
      </x:c>
      <x:c r="B93" s="17" t="n">
        <x:v>0</x:v>
      </x:c>
      <x:c r="C93" s="17" t="str">
        <x:v>WT</x:v>
      </x:c>
      <x:c r="D93" s="17" t="str">
        <x:v>WT_11</x:v>
      </x:c>
      <x:c r="E93" s="17" t="str">
        <x:v>train</x:v>
      </x:c>
    </x:row>
    <x:row r="94">
      <x:c r="A94" s="17" t="str">
        <x:v>wt_fivefold_complete_cell</x:v>
      </x:c>
      <x:c r="B94" s="17" t="n">
        <x:v>0</x:v>
      </x:c>
      <x:c r="C94" s="17" t="str">
        <x:v>WT</x:v>
      </x:c>
      <x:c r="D94" s="17" t="str">
        <x:v>WT_13</x:v>
      </x:c>
      <x:c r="E94" s="17" t="str">
        <x:v>train</x:v>
      </x:c>
    </x:row>
    <x:row r="95">
      <x:c r="A95" s="17" t="str">
        <x:v>wt_fivefold_complete_cell</x:v>
      </x:c>
      <x:c r="B95" s="17" t="n">
        <x:v>0</x:v>
      </x:c>
      <x:c r="C95" s="17" t="str">
        <x:v>WT</x:v>
      </x:c>
      <x:c r="D95" s="17" t="str">
        <x:v>WT_14</x:v>
      </x:c>
      <x:c r="E95" s="17" t="str">
        <x:v>train</x:v>
      </x:c>
    </x:row>
    <x:row r="96">
      <x:c r="A96" s="17" t="str">
        <x:v>wt_fivefold_complete_cell</x:v>
      </x:c>
      <x:c r="B96" s="17" t="n">
        <x:v>0</x:v>
      </x:c>
      <x:c r="C96" s="17" t="str">
        <x:v>WT</x:v>
      </x:c>
      <x:c r="D96" s="17" t="str">
        <x:v>WT_15</x:v>
      </x:c>
      <x:c r="E96" s="17" t="str">
        <x:v>train</x:v>
      </x:c>
    </x:row>
    <x:row r="97">
      <x:c r="A97" s="17" t="str">
        <x:v>wt_fivefold_complete_cell</x:v>
      </x:c>
      <x:c r="B97" s="17" t="n">
        <x:v>0</x:v>
      </x:c>
      <x:c r="C97" s="17" t="str">
        <x:v>WT</x:v>
      </x:c>
      <x:c r="D97" s="17" t="str">
        <x:v>WT_16</x:v>
      </x:c>
      <x:c r="E97" s="17" t="str">
        <x:v>train</x:v>
      </x:c>
    </x:row>
    <x:row r="98">
      <x:c r="A98" s="17" t="str">
        <x:v>wt_fivefold_complete_cell</x:v>
      </x:c>
      <x:c r="B98" s="17" t="n">
        <x:v>1</x:v>
      </x:c>
      <x:c r="C98" s="17" t="str">
        <x:v>WT</x:v>
      </x:c>
      <x:c r="D98" s="17" t="str">
        <x:v>WT_01</x:v>
      </x:c>
      <x:c r="E98" s="17" t="str">
        <x:v>train</x:v>
      </x:c>
    </x:row>
    <x:row r="99">
      <x:c r="A99" s="17" t="str">
        <x:v>wt_fivefold_complete_cell</x:v>
      </x:c>
      <x:c r="B99" s="17" t="n">
        <x:v>1</x:v>
      </x:c>
      <x:c r="C99" s="17" t="str">
        <x:v>WT</x:v>
      </x:c>
      <x:c r="D99" s="17" t="str">
        <x:v>WT_02</x:v>
      </x:c>
      <x:c r="E99" s="17" t="str">
        <x:v>train</x:v>
      </x:c>
    </x:row>
    <x:row r="100">
      <x:c r="A100" s="17" t="str">
        <x:v>wt_fivefold_complete_cell</x:v>
      </x:c>
      <x:c r="B100" s="17" t="n">
        <x:v>1</x:v>
      </x:c>
      <x:c r="C100" s="17" t="str">
        <x:v>WT</x:v>
      </x:c>
      <x:c r="D100" s="17" t="str">
        <x:v>WT_03</x:v>
      </x:c>
      <x:c r="E100" s="17" t="str">
        <x:v>train</x:v>
      </x:c>
    </x:row>
    <x:row r="101">
      <x:c r="A101" s="17" t="str">
        <x:v>wt_fivefold_complete_cell</x:v>
      </x:c>
      <x:c r="B101" s="17" t="n">
        <x:v>1</x:v>
      </x:c>
      <x:c r="C101" s="17" t="str">
        <x:v>WT</x:v>
      </x:c>
      <x:c r="D101" s="17" t="str">
        <x:v>WT_04</x:v>
      </x:c>
      <x:c r="E101" s="17" t="str">
        <x:v>test</x:v>
      </x:c>
    </x:row>
    <x:row r="102">
      <x:c r="A102" s="17" t="str">
        <x:v>wt_fivefold_complete_cell</x:v>
      </x:c>
      <x:c r="B102" s="17" t="n">
        <x:v>1</x:v>
      </x:c>
      <x:c r="C102" s="17" t="str">
        <x:v>WT</x:v>
      </x:c>
      <x:c r="D102" s="17" t="str">
        <x:v>WT_05</x:v>
      </x:c>
      <x:c r="E102" s="17" t="str">
        <x:v>train</x:v>
      </x:c>
    </x:row>
    <x:row r="103">
      <x:c r="A103" s="17" t="str">
        <x:v>wt_fivefold_complete_cell</x:v>
      </x:c>
      <x:c r="B103" s="17" t="n">
        <x:v>1</x:v>
      </x:c>
      <x:c r="C103" s="17" t="str">
        <x:v>WT</x:v>
      </x:c>
      <x:c r="D103" s="17" t="str">
        <x:v>WT_06</x:v>
      </x:c>
      <x:c r="E103" s="17" t="str">
        <x:v>train</x:v>
      </x:c>
    </x:row>
    <x:row r="104">
      <x:c r="A104" s="17" t="str">
        <x:v>wt_fivefold_complete_cell</x:v>
      </x:c>
      <x:c r="B104" s="17" t="n">
        <x:v>1</x:v>
      </x:c>
      <x:c r="C104" s="17" t="str">
        <x:v>WT</x:v>
      </x:c>
      <x:c r="D104" s="17" t="str">
        <x:v>WT_07</x:v>
      </x:c>
      <x:c r="E104" s="17" t="str">
        <x:v>train</x:v>
      </x:c>
    </x:row>
    <x:row r="105">
      <x:c r="A105" s="17" t="str">
        <x:v>wt_fivefold_complete_cell</x:v>
      </x:c>
      <x:c r="B105" s="17" t="n">
        <x:v>1</x:v>
      </x:c>
      <x:c r="C105" s="17" t="str">
        <x:v>WT</x:v>
      </x:c>
      <x:c r="D105" s="17" t="str">
        <x:v>WT_08</x:v>
      </x:c>
      <x:c r="E105" s="17" t="str">
        <x:v>train</x:v>
      </x:c>
    </x:row>
    <x:row r="106">
      <x:c r="A106" s="17" t="str">
        <x:v>wt_fivefold_complete_cell</x:v>
      </x:c>
      <x:c r="B106" s="17" t="n">
        <x:v>1</x:v>
      </x:c>
      <x:c r="C106" s="17" t="str">
        <x:v>WT</x:v>
      </x:c>
      <x:c r="D106" s="17" t="str">
        <x:v>WT_09</x:v>
      </x:c>
      <x:c r="E106" s="17" t="str">
        <x:v>train</x:v>
      </x:c>
    </x:row>
    <x:row r="107">
      <x:c r="A107" s="17" t="str">
        <x:v>wt_fivefold_complete_cell</x:v>
      </x:c>
      <x:c r="B107" s="17" t="n">
        <x:v>1</x:v>
      </x:c>
      <x:c r="C107" s="17" t="str">
        <x:v>WT</x:v>
      </x:c>
      <x:c r="D107" s="17" t="str">
        <x:v>WT_10</x:v>
      </x:c>
      <x:c r="E107" s="17" t="str">
        <x:v>train</x:v>
      </x:c>
    </x:row>
    <x:row r="108">
      <x:c r="A108" s="17" t="str">
        <x:v>wt_fivefold_complete_cell</x:v>
      </x:c>
      <x:c r="B108" s="17" t="n">
        <x:v>1</x:v>
      </x:c>
      <x:c r="C108" s="17" t="str">
        <x:v>WT</x:v>
      </x:c>
      <x:c r="D108" s="17" t="str">
        <x:v>WT_11</x:v>
      </x:c>
      <x:c r="E108" s="17" t="str">
        <x:v>test</x:v>
      </x:c>
    </x:row>
    <x:row r="109">
      <x:c r="A109" s="17" t="str">
        <x:v>wt_fivefold_complete_cell</x:v>
      </x:c>
      <x:c r="B109" s="17" t="n">
        <x:v>1</x:v>
      </x:c>
      <x:c r="C109" s="17" t="str">
        <x:v>WT</x:v>
      </x:c>
      <x:c r="D109" s="17" t="str">
        <x:v>WT_13</x:v>
      </x:c>
      <x:c r="E109" s="17" t="str">
        <x:v>test</x:v>
      </x:c>
    </x:row>
    <x:row r="110">
      <x:c r="A110" s="17" t="str">
        <x:v>wt_fivefold_complete_cell</x:v>
      </x:c>
      <x:c r="B110" s="17" t="n">
        <x:v>1</x:v>
      </x:c>
      <x:c r="C110" s="17" t="str">
        <x:v>WT</x:v>
      </x:c>
      <x:c r="D110" s="17" t="str">
        <x:v>WT_14</x:v>
      </x:c>
      <x:c r="E110" s="17" t="str">
        <x:v>train</x:v>
      </x:c>
    </x:row>
    <x:row r="111">
      <x:c r="A111" s="17" t="str">
        <x:v>wt_fivefold_complete_cell</x:v>
      </x:c>
      <x:c r="B111" s="17" t="n">
        <x:v>1</x:v>
      </x:c>
      <x:c r="C111" s="17" t="str">
        <x:v>WT</x:v>
      </x:c>
      <x:c r="D111" s="17" t="str">
        <x:v>WT_15</x:v>
      </x:c>
      <x:c r="E111" s="17" t="str">
        <x:v>train</x:v>
      </x:c>
    </x:row>
    <x:row r="112">
      <x:c r="A112" s="17" t="str">
        <x:v>wt_fivefold_complete_cell</x:v>
      </x:c>
      <x:c r="B112" s="17" t="n">
        <x:v>1</x:v>
      </x:c>
      <x:c r="C112" s="17" t="str">
        <x:v>WT</x:v>
      </x:c>
      <x:c r="D112" s="17" t="str">
        <x:v>WT_16</x:v>
      </x:c>
      <x:c r="E112" s="17" t="str">
        <x:v>train</x:v>
      </x:c>
    </x:row>
    <x:row r="113">
      <x:c r="A113" s="17" t="str">
        <x:v>wt_fivefold_complete_cell</x:v>
      </x:c>
      <x:c r="B113" s="17" t="n">
        <x:v>2</x:v>
      </x:c>
      <x:c r="C113" s="17" t="str">
        <x:v>WT</x:v>
      </x:c>
      <x:c r="D113" s="17" t="str">
        <x:v>WT_01</x:v>
      </x:c>
      <x:c r="E113" s="17" t="str">
        <x:v>train</x:v>
      </x:c>
    </x:row>
    <x:row r="114">
      <x:c r="A114" s="17" t="str">
        <x:v>wt_fivefold_complete_cell</x:v>
      </x:c>
      <x:c r="B114" s="17" t="n">
        <x:v>2</x:v>
      </x:c>
      <x:c r="C114" s="17" t="str">
        <x:v>WT</x:v>
      </x:c>
      <x:c r="D114" s="17" t="str">
        <x:v>WT_02</x:v>
      </x:c>
      <x:c r="E114" s="17" t="str">
        <x:v>train</x:v>
      </x:c>
    </x:row>
    <x:row r="115">
      <x:c r="A115" s="17" t="str">
        <x:v>wt_fivefold_complete_cell</x:v>
      </x:c>
      <x:c r="B115" s="17" t="n">
        <x:v>2</x:v>
      </x:c>
      <x:c r="C115" s="17" t="str">
        <x:v>WT</x:v>
      </x:c>
      <x:c r="D115" s="17" t="str">
        <x:v>WT_03</x:v>
      </x:c>
      <x:c r="E115" s="17" t="str">
        <x:v>train</x:v>
      </x:c>
    </x:row>
    <x:row r="116">
      <x:c r="A116" s="17" t="str">
        <x:v>wt_fivefold_complete_cell</x:v>
      </x:c>
      <x:c r="B116" s="17" t="n">
        <x:v>2</x:v>
      </x:c>
      <x:c r="C116" s="17" t="str">
        <x:v>WT</x:v>
      </x:c>
      <x:c r="D116" s="17" t="str">
        <x:v>WT_04</x:v>
      </x:c>
      <x:c r="E116" s="17" t="str">
        <x:v>train</x:v>
      </x:c>
    </x:row>
    <x:row r="117">
      <x:c r="A117" s="17" t="str">
        <x:v>wt_fivefold_complete_cell</x:v>
      </x:c>
      <x:c r="B117" s="17" t="n">
        <x:v>2</x:v>
      </x:c>
      <x:c r="C117" s="17" t="str">
        <x:v>WT</x:v>
      </x:c>
      <x:c r="D117" s="17" t="str">
        <x:v>WT_05</x:v>
      </x:c>
      <x:c r="E117" s="17" t="str">
        <x:v>test</x:v>
      </x:c>
    </x:row>
    <x:row r="118">
      <x:c r="A118" s="17" t="str">
        <x:v>wt_fivefold_complete_cell</x:v>
      </x:c>
      <x:c r="B118" s="17" t="n">
        <x:v>2</x:v>
      </x:c>
      <x:c r="C118" s="17" t="str">
        <x:v>WT</x:v>
      </x:c>
      <x:c r="D118" s="17" t="str">
        <x:v>WT_06</x:v>
      </x:c>
      <x:c r="E118" s="17" t="str">
        <x:v>test</x:v>
      </x:c>
    </x:row>
    <x:row r="119">
      <x:c r="A119" s="17" t="str">
        <x:v>wt_fivefold_complete_cell</x:v>
      </x:c>
      <x:c r="B119" s="17" t="n">
        <x:v>2</x:v>
      </x:c>
      <x:c r="C119" s="17" t="str">
        <x:v>WT</x:v>
      </x:c>
      <x:c r="D119" s="17" t="str">
        <x:v>WT_07</x:v>
      </x:c>
      <x:c r="E119" s="17" t="str">
        <x:v>train</x:v>
      </x:c>
    </x:row>
    <x:row r="120">
      <x:c r="A120" s="17" t="str">
        <x:v>wt_fivefold_complete_cell</x:v>
      </x:c>
      <x:c r="B120" s="17" t="n">
        <x:v>2</x:v>
      </x:c>
      <x:c r="C120" s="17" t="str">
        <x:v>WT</x:v>
      </x:c>
      <x:c r="D120" s="17" t="str">
        <x:v>WT_08</x:v>
      </x:c>
      <x:c r="E120" s="17" t="str">
        <x:v>test</x:v>
      </x:c>
    </x:row>
    <x:row r="121">
      <x:c r="A121" s="17" t="str">
        <x:v>wt_fivefold_complete_cell</x:v>
      </x:c>
      <x:c r="B121" s="17" t="n">
        <x:v>2</x:v>
      </x:c>
      <x:c r="C121" s="17" t="str">
        <x:v>WT</x:v>
      </x:c>
      <x:c r="D121" s="17" t="str">
        <x:v>WT_09</x:v>
      </x:c>
      <x:c r="E121" s="17" t="str">
        <x:v>train</x:v>
      </x:c>
    </x:row>
    <x:row r="122">
      <x:c r="A122" s="17" t="str">
        <x:v>wt_fivefold_complete_cell</x:v>
      </x:c>
      <x:c r="B122" s="17" t="n">
        <x:v>2</x:v>
      </x:c>
      <x:c r="C122" s="17" t="str">
        <x:v>WT</x:v>
      </x:c>
      <x:c r="D122" s="17" t="str">
        <x:v>WT_10</x:v>
      </x:c>
      <x:c r="E122" s="17" t="str">
        <x:v>train</x:v>
      </x:c>
    </x:row>
    <x:row r="123">
      <x:c r="A123" s="17" t="str">
        <x:v>wt_fivefold_complete_cell</x:v>
      </x:c>
      <x:c r="B123" s="17" t="n">
        <x:v>2</x:v>
      </x:c>
      <x:c r="C123" s="17" t="str">
        <x:v>WT</x:v>
      </x:c>
      <x:c r="D123" s="17" t="str">
        <x:v>WT_11</x:v>
      </x:c>
      <x:c r="E123" s="17" t="str">
        <x:v>train</x:v>
      </x:c>
    </x:row>
    <x:row r="124">
      <x:c r="A124" s="17" t="str">
        <x:v>wt_fivefold_complete_cell</x:v>
      </x:c>
      <x:c r="B124" s="17" t="n">
        <x:v>2</x:v>
      </x:c>
      <x:c r="C124" s="17" t="str">
        <x:v>WT</x:v>
      </x:c>
      <x:c r="D124" s="17" t="str">
        <x:v>WT_13</x:v>
      </x:c>
      <x:c r="E124" s="17" t="str">
        <x:v>train</x:v>
      </x:c>
    </x:row>
    <x:row r="125">
      <x:c r="A125" s="17" t="str">
        <x:v>wt_fivefold_complete_cell</x:v>
      </x:c>
      <x:c r="B125" s="17" t="n">
        <x:v>2</x:v>
      </x:c>
      <x:c r="C125" s="17" t="str">
        <x:v>WT</x:v>
      </x:c>
      <x:c r="D125" s="17" t="str">
        <x:v>WT_14</x:v>
      </x:c>
      <x:c r="E125" s="17" t="str">
        <x:v>train</x:v>
      </x:c>
    </x:row>
    <x:row r="126">
      <x:c r="A126" s="17" t="str">
        <x:v>wt_fivefold_complete_cell</x:v>
      </x:c>
      <x:c r="B126" s="17" t="n">
        <x:v>2</x:v>
      </x:c>
      <x:c r="C126" s="17" t="str">
        <x:v>WT</x:v>
      </x:c>
      <x:c r="D126" s="17" t="str">
        <x:v>WT_15</x:v>
      </x:c>
      <x:c r="E126" s="17" t="str">
        <x:v>train</x:v>
      </x:c>
    </x:row>
    <x:row r="127">
      <x:c r="A127" s="17" t="str">
        <x:v>wt_fivefold_complete_cell</x:v>
      </x:c>
      <x:c r="B127" s="17" t="n">
        <x:v>2</x:v>
      </x:c>
      <x:c r="C127" s="17" t="str">
        <x:v>WT</x:v>
      </x:c>
      <x:c r="D127" s="17" t="str">
        <x:v>WT_16</x:v>
      </x:c>
      <x:c r="E127" s="17" t="str">
        <x:v>train</x:v>
      </x:c>
    </x:row>
    <x:row r="128">
      <x:c r="A128" s="17" t="str">
        <x:v>wt_fivefold_complete_cell</x:v>
      </x:c>
      <x:c r="B128" s="17" t="n">
        <x:v>3</x:v>
      </x:c>
      <x:c r="C128" s="17" t="str">
        <x:v>WT</x:v>
      </x:c>
      <x:c r="D128" s="17" t="str">
        <x:v>WT_01</x:v>
      </x:c>
      <x:c r="E128" s="17" t="str">
        <x:v>train</x:v>
      </x:c>
    </x:row>
    <x:row r="129">
      <x:c r="A129" s="17" t="str">
        <x:v>wt_fivefold_complete_cell</x:v>
      </x:c>
      <x:c r="B129" s="17" t="n">
        <x:v>3</x:v>
      </x:c>
      <x:c r="C129" s="17" t="str">
        <x:v>WT</x:v>
      </x:c>
      <x:c r="D129" s="17" t="str">
        <x:v>WT_02</x:v>
      </x:c>
      <x:c r="E129" s="17" t="str">
        <x:v>test</x:v>
      </x:c>
    </x:row>
    <x:row r="130">
      <x:c r="A130" s="17" t="str">
        <x:v>wt_fivefold_complete_cell</x:v>
      </x:c>
      <x:c r="B130" s="17" t="n">
        <x:v>3</x:v>
      </x:c>
      <x:c r="C130" s="17" t="str">
        <x:v>WT</x:v>
      </x:c>
      <x:c r="D130" s="17" t="str">
        <x:v>WT_03</x:v>
      </x:c>
      <x:c r="E130" s="17" t="str">
        <x:v>train</x:v>
      </x:c>
    </x:row>
    <x:row r="131">
      <x:c r="A131" s="17" t="str">
        <x:v>wt_fivefold_complete_cell</x:v>
      </x:c>
      <x:c r="B131" s="17" t="n">
        <x:v>3</x:v>
      </x:c>
      <x:c r="C131" s="17" t="str">
        <x:v>WT</x:v>
      </x:c>
      <x:c r="D131" s="17" t="str">
        <x:v>WT_04</x:v>
      </x:c>
      <x:c r="E131" s="17" t="str">
        <x:v>train</x:v>
      </x:c>
    </x:row>
    <x:row r="132">
      <x:c r="A132" s="17" t="str">
        <x:v>wt_fivefold_complete_cell</x:v>
      </x:c>
      <x:c r="B132" s="17" t="n">
        <x:v>3</x:v>
      </x:c>
      <x:c r="C132" s="17" t="str">
        <x:v>WT</x:v>
      </x:c>
      <x:c r="D132" s="17" t="str">
        <x:v>WT_05</x:v>
      </x:c>
      <x:c r="E132" s="17" t="str">
        <x:v>train</x:v>
      </x:c>
    </x:row>
    <x:row r="133">
      <x:c r="A133" s="17" t="str">
        <x:v>wt_fivefold_complete_cell</x:v>
      </x:c>
      <x:c r="B133" s="17" t="n">
        <x:v>3</x:v>
      </x:c>
      <x:c r="C133" s="17" t="str">
        <x:v>WT</x:v>
      </x:c>
      <x:c r="D133" s="17" t="str">
        <x:v>WT_06</x:v>
      </x:c>
      <x:c r="E133" s="17" t="str">
        <x:v>train</x:v>
      </x:c>
    </x:row>
    <x:row r="134">
      <x:c r="A134" s="17" t="str">
        <x:v>wt_fivefold_complete_cell</x:v>
      </x:c>
      <x:c r="B134" s="17" t="n">
        <x:v>3</x:v>
      </x:c>
      <x:c r="C134" s="17" t="str">
        <x:v>WT</x:v>
      </x:c>
      <x:c r="D134" s="17" t="str">
        <x:v>WT_07</x:v>
      </x:c>
      <x:c r="E134" s="17" t="str">
        <x:v>test</x:v>
      </x:c>
    </x:row>
    <x:row r="135">
      <x:c r="A135" s="17" t="str">
        <x:v>wt_fivefold_complete_cell</x:v>
      </x:c>
      <x:c r="B135" s="17" t="n">
        <x:v>3</x:v>
      </x:c>
      <x:c r="C135" s="17" t="str">
        <x:v>WT</x:v>
      </x:c>
      <x:c r="D135" s="17" t="str">
        <x:v>WT_08</x:v>
      </x:c>
      <x:c r="E135" s="17" t="str">
        <x:v>train</x:v>
      </x:c>
    </x:row>
    <x:row r="136">
      <x:c r="A136" s="17" t="str">
        <x:v>wt_fivefold_complete_cell</x:v>
      </x:c>
      <x:c r="B136" s="17" t="n">
        <x:v>3</x:v>
      </x:c>
      <x:c r="C136" s="17" t="str">
        <x:v>WT</x:v>
      </x:c>
      <x:c r="D136" s="17" t="str">
        <x:v>WT_09</x:v>
      </x:c>
      <x:c r="E136" s="17" t="str">
        <x:v>train</x:v>
      </x:c>
    </x:row>
    <x:row r="137">
      <x:c r="A137" s="17" t="str">
        <x:v>wt_fivefold_complete_cell</x:v>
      </x:c>
      <x:c r="B137" s="17" t="n">
        <x:v>3</x:v>
      </x:c>
      <x:c r="C137" s="17" t="str">
        <x:v>WT</x:v>
      </x:c>
      <x:c r="D137" s="17" t="str">
        <x:v>WT_10</x:v>
      </x:c>
      <x:c r="E137" s="17" t="str">
        <x:v>train</x:v>
      </x:c>
    </x:row>
    <x:row r="138">
      <x:c r="A138" s="17" t="str">
        <x:v>wt_fivefold_complete_cell</x:v>
      </x:c>
      <x:c r="B138" s="17" t="n">
        <x:v>3</x:v>
      </x:c>
      <x:c r="C138" s="17" t="str">
        <x:v>WT</x:v>
      </x:c>
      <x:c r="D138" s="17" t="str">
        <x:v>WT_11</x:v>
      </x:c>
      <x:c r="E138" s="17" t="str">
        <x:v>train</x:v>
      </x:c>
    </x:row>
    <x:row r="139">
      <x:c r="A139" s="17" t="str">
        <x:v>wt_fivefold_complete_cell</x:v>
      </x:c>
      <x:c r="B139" s="17" t="n">
        <x:v>3</x:v>
      </x:c>
      <x:c r="C139" s="17" t="str">
        <x:v>WT</x:v>
      </x:c>
      <x:c r="D139" s="17" t="str">
        <x:v>WT_13</x:v>
      </x:c>
      <x:c r="E139" s="17" t="str">
        <x:v>train</x:v>
      </x:c>
    </x:row>
    <x:row r="140">
      <x:c r="A140" s="17" t="str">
        <x:v>wt_fivefold_complete_cell</x:v>
      </x:c>
      <x:c r="B140" s="17" t="n">
        <x:v>3</x:v>
      </x:c>
      <x:c r="C140" s="17" t="str">
        <x:v>WT</x:v>
      </x:c>
      <x:c r="D140" s="17" t="str">
        <x:v>WT_14</x:v>
      </x:c>
      <x:c r="E140" s="17" t="str">
        <x:v>train</x:v>
      </x:c>
    </x:row>
    <x:row r="141">
      <x:c r="A141" s="17" t="str">
        <x:v>wt_fivefold_complete_cell</x:v>
      </x:c>
      <x:c r="B141" s="17" t="n">
        <x:v>3</x:v>
      </x:c>
      <x:c r="C141" s="17" t="str">
        <x:v>WT</x:v>
      </x:c>
      <x:c r="D141" s="17" t="str">
        <x:v>WT_15</x:v>
      </x:c>
      <x:c r="E141" s="17" t="str">
        <x:v>test</x:v>
      </x:c>
    </x:row>
    <x:row r="142">
      <x:c r="A142" s="17" t="str">
        <x:v>wt_fivefold_complete_cell</x:v>
      </x:c>
      <x:c r="B142" s="17" t="n">
        <x:v>3</x:v>
      </x:c>
      <x:c r="C142" s="17" t="str">
        <x:v>WT</x:v>
      </x:c>
      <x:c r="D142" s="17" t="str">
        <x:v>WT_16</x:v>
      </x:c>
      <x:c r="E142" s="17" t="str">
        <x:v>train</x:v>
      </x:c>
    </x:row>
    <x:row r="143">
      <x:c r="A143" s="17" t="str">
        <x:v>wt_fivefold_complete_cell</x:v>
      </x:c>
      <x:c r="B143" s="17" t="n">
        <x:v>4</x:v>
      </x:c>
      <x:c r="C143" s="17" t="str">
        <x:v>WT</x:v>
      </x:c>
      <x:c r="D143" s="17" t="str">
        <x:v>WT_01</x:v>
      </x:c>
      <x:c r="E143" s="17" t="str">
        <x:v>train</x:v>
      </x:c>
    </x:row>
    <x:row r="144">
      <x:c r="A144" s="17" t="str">
        <x:v>wt_fivefold_complete_cell</x:v>
      </x:c>
      <x:c r="B144" s="17" t="n">
        <x:v>4</x:v>
      </x:c>
      <x:c r="C144" s="17" t="str">
        <x:v>WT</x:v>
      </x:c>
      <x:c r="D144" s="17" t="str">
        <x:v>WT_02</x:v>
      </x:c>
      <x:c r="E144" s="17" t="str">
        <x:v>train</x:v>
      </x:c>
    </x:row>
    <x:row r="145">
      <x:c r="A145" s="17" t="str">
        <x:v>wt_fivefold_complete_cell</x:v>
      </x:c>
      <x:c r="B145" s="17" t="n">
        <x:v>4</x:v>
      </x:c>
      <x:c r="C145" s="17" t="str">
        <x:v>WT</x:v>
      </x:c>
      <x:c r="D145" s="17" t="str">
        <x:v>WT_03</x:v>
      </x:c>
      <x:c r="E145" s="17" t="str">
        <x:v>train</x:v>
      </x:c>
    </x:row>
    <x:row r="146">
      <x:c r="A146" s="17" t="str">
        <x:v>wt_fivefold_complete_cell</x:v>
      </x:c>
      <x:c r="B146" s="17" t="n">
        <x:v>4</x:v>
      </x:c>
      <x:c r="C146" s="17" t="str">
        <x:v>WT</x:v>
      </x:c>
      <x:c r="D146" s="17" t="str">
        <x:v>WT_04</x:v>
      </x:c>
      <x:c r="E146" s="17" t="str">
        <x:v>train</x:v>
      </x:c>
    </x:row>
    <x:row r="147">
      <x:c r="A147" s="17" t="str">
        <x:v>wt_fivefold_complete_cell</x:v>
      </x:c>
      <x:c r="B147" s="17" t="n">
        <x:v>4</x:v>
      </x:c>
      <x:c r="C147" s="17" t="str">
        <x:v>WT</x:v>
      </x:c>
      <x:c r="D147" s="17" t="str">
        <x:v>WT_05</x:v>
      </x:c>
      <x:c r="E147" s="17" t="str">
        <x:v>train</x:v>
      </x:c>
    </x:row>
    <x:row r="148">
      <x:c r="A148" s="17" t="str">
        <x:v>wt_fivefold_complete_cell</x:v>
      </x:c>
      <x:c r="B148" s="17" t="n">
        <x:v>4</x:v>
      </x:c>
      <x:c r="C148" s="17" t="str">
        <x:v>WT</x:v>
      </x:c>
      <x:c r="D148" s="17" t="str">
        <x:v>WT_06</x:v>
      </x:c>
      <x:c r="E148" s="17" t="str">
        <x:v>train</x:v>
      </x:c>
    </x:row>
    <x:row r="149">
      <x:c r="A149" s="17" t="str">
        <x:v>wt_fivefold_complete_cell</x:v>
      </x:c>
      <x:c r="B149" s="17" t="n">
        <x:v>4</x:v>
      </x:c>
      <x:c r="C149" s="17" t="str">
        <x:v>WT</x:v>
      </x:c>
      <x:c r="D149" s="17" t="str">
        <x:v>WT_07</x:v>
      </x:c>
      <x:c r="E149" s="17" t="str">
        <x:v>train</x:v>
      </x:c>
    </x:row>
    <x:row r="150">
      <x:c r="A150" s="17" t="str">
        <x:v>wt_fivefold_complete_cell</x:v>
      </x:c>
      <x:c r="B150" s="17" t="n">
        <x:v>4</x:v>
      </x:c>
      <x:c r="C150" s="17" t="str">
        <x:v>WT</x:v>
      </x:c>
      <x:c r="D150" s="17" t="str">
        <x:v>WT_08</x:v>
      </x:c>
      <x:c r="E150" s="17" t="str">
        <x:v>train</x:v>
      </x:c>
    </x:row>
    <x:row r="151">
      <x:c r="A151" s="17" t="str">
        <x:v>wt_fivefold_complete_cell</x:v>
      </x:c>
      <x:c r="B151" s="17" t="n">
        <x:v>4</x:v>
      </x:c>
      <x:c r="C151" s="17" t="str">
        <x:v>WT</x:v>
      </x:c>
      <x:c r="D151" s="17" t="str">
        <x:v>WT_09</x:v>
      </x:c>
      <x:c r="E151" s="17" t="str">
        <x:v>train</x:v>
      </x:c>
    </x:row>
    <x:row r="152">
      <x:c r="A152" s="17" t="str">
        <x:v>wt_fivefold_complete_cell</x:v>
      </x:c>
      <x:c r="B152" s="17" t="n">
        <x:v>4</x:v>
      </x:c>
      <x:c r="C152" s="17" t="str">
        <x:v>WT</x:v>
      </x:c>
      <x:c r="D152" s="17" t="str">
        <x:v>WT_10</x:v>
      </x:c>
      <x:c r="E152" s="17" t="str">
        <x:v>test</x:v>
      </x:c>
    </x:row>
    <x:row r="153">
      <x:c r="A153" s="17" t="str">
        <x:v>wt_fivefold_complete_cell</x:v>
      </x:c>
      <x:c r="B153" s="17" t="n">
        <x:v>4</x:v>
      </x:c>
      <x:c r="C153" s="17" t="str">
        <x:v>WT</x:v>
      </x:c>
      <x:c r="D153" s="17" t="str">
        <x:v>WT_11</x:v>
      </x:c>
      <x:c r="E153" s="17" t="str">
        <x:v>train</x:v>
      </x:c>
    </x:row>
    <x:row r="154">
      <x:c r="A154" s="17" t="str">
        <x:v>wt_fivefold_complete_cell</x:v>
      </x:c>
      <x:c r="B154" s="17" t="n">
        <x:v>4</x:v>
      </x:c>
      <x:c r="C154" s="17" t="str">
        <x:v>WT</x:v>
      </x:c>
      <x:c r="D154" s="17" t="str">
        <x:v>WT_13</x:v>
      </x:c>
      <x:c r="E154" s="17" t="str">
        <x:v>train</x:v>
      </x:c>
    </x:row>
    <x:row r="155">
      <x:c r="A155" s="17" t="str">
        <x:v>wt_fivefold_complete_cell</x:v>
      </x:c>
      <x:c r="B155" s="17" t="n">
        <x:v>4</x:v>
      </x:c>
      <x:c r="C155" s="17" t="str">
        <x:v>WT</x:v>
      </x:c>
      <x:c r="D155" s="17" t="str">
        <x:v>WT_14</x:v>
      </x:c>
      <x:c r="E155" s="17" t="str">
        <x:v>test</x:v>
      </x:c>
    </x:row>
    <x:row r="156">
      <x:c r="A156" s="17" t="str">
        <x:v>wt_fivefold_complete_cell</x:v>
      </x:c>
      <x:c r="B156" s="17" t="n">
        <x:v>4</x:v>
      </x:c>
      <x:c r="C156" s="17" t="str">
        <x:v>WT</x:v>
      </x:c>
      <x:c r="D156" s="17" t="str">
        <x:v>WT_15</x:v>
      </x:c>
      <x:c r="E156" s="17" t="str">
        <x:v>train</x:v>
      </x:c>
    </x:row>
    <x:row r="157">
      <x:c r="A157" s="18" t="str">
        <x:v>wt_fivefold_complete_cell</x:v>
      </x:c>
      <x:c r="B157" s="18" t="n">
        <x:v>4</x:v>
      </x:c>
      <x:c r="C157" s="18" t="str">
        <x:v>WT</x:v>
      </x:c>
      <x:c r="D157" s="18" t="str">
        <x:v>WT_16</x:v>
      </x:c>
      <x:c r="E157" s="18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fd056d837bb344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.110000133514404" hidden="0" customWidth="1"/>
    <x:col min="3" max="3" width="27.219999313354492" hidden="0" customWidth="1"/>
    <x:col min="4" max="4" width="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9.329999923706055" hidden="0" customWidth="1"/>
    <x:col min="10" max="10" width="20" hidden="0" customWidth="1"/>
  </x:cols>
  <x:sheetData>
    <x:row r="1">
      <x:c r="A1" s="9" t="str">
        <x:v>capacitance_window_ms</x:v>
      </x:c>
      <x:c r="B1" s="10" t="str">
        <x:v>group</x:v>
      </x:c>
      <x:c r="C1" s="10" t="str">
        <x:v>metric</x:v>
      </x:c>
      <x:c r="D1" s="10" t="str">
        <x:v>n_cells</x:v>
      </x:c>
      <x:c r="E1" s="10" t="str">
        <x:v>mean</x:v>
      </x:c>
      <x:c r="F1" s="10" t="str">
        <x:v>sd</x:v>
      </x:c>
      <x:c r="G1" s="10" t="str">
        <x:v>sem</x:v>
      </x:c>
      <x:c r="H1" s="10" t="str">
        <x:v>median</x:v>
      </x:c>
      <x:c r="I1" s="10" t="str">
        <x:v>ci95_low_cell_bootstrap</x:v>
      </x:c>
      <x:c r="J1" s="11" t="str">
        <x:v>ci95_high_cell_bootstrap</x:v>
      </x:c>
    </x:row>
    <x:row r="2">
      <x:c r="A2" s="43" t="n">
        <x:v>10</x:v>
      </x:c>
      <x:c r="B2" s="16" t="str">
        <x:v>SCA3</x:v>
      </x:c>
      <x:c r="C2" s="16" t="str">
        <x:v>mean_sustained_rate_hz</x:v>
      </x:c>
      <x:c r="D2" s="40" t="n">
        <x:v>9</x:v>
      </x:c>
      <x:c r="E2" s="40" t="n">
        <x:v>7.8995078995079</x:v>
      </x:c>
      <x:c r="F2" s="40" t="n">
        <x:v>3.6019664293703997</x:v>
      </x:c>
      <x:c r="G2" s="40" t="n">
        <x:v>1.2006554764567998</x:v>
      </x:c>
      <x:c r="H2" s="40" t="n">
        <x:v>7.226107226107226</x:v>
      </x:c>
      <x:c r="I2" s="40" t="n">
        <x:v>5.715272381939048</x:v>
      </x:c>
      <x:c r="J2" s="40" t="n">
        <x:v>10.19597686264353</x:v>
      </x:c>
    </x:row>
    <x:row r="3">
      <x:c r="A3" s="44" t="n">
        <x:v>10</x:v>
      </x:c>
      <x:c r="B3" s="17" t="str">
        <x:v>SCA3</x:v>
      </x:c>
      <x:c r="C3" s="17" t="str">
        <x:v>maximum_sustained_rate_hz</x:v>
      </x:c>
      <x:c r="D3" s="41" t="n">
        <x:v>9</x:v>
      </x:c>
      <x:c r="E3" s="41" t="n">
        <x:v>34.68013468013467</x:v>
      </x:c>
      <x:c r="F3" s="41" t="n">
        <x:v>9.353666251238451</x:v>
      </x:c>
      <x:c r="G3" s="41" t="n">
        <x:v>3.117888750412817</x:v>
      </x:c>
      <x:c r="H3" s="41" t="n">
        <x:v>37.37373737373738</x:v>
      </x:c>
      <x:c r="I3" s="41" t="n">
        <x:v>28.731762065095396</x:v>
      </x:c>
      <x:c r="J3" s="41" t="n">
        <x:v>40.06734006734006</x:v>
      </x:c>
    </x:row>
    <x:row r="4">
      <x:c r="A4" s="44" t="n">
        <x:v>10</x:v>
      </x:c>
      <x:c r="B4" s="17" t="str">
        <x:v>SCA3</x:v>
      </x:c>
      <x:c r="C4" s="17" t="str">
        <x:v>recruitment_current_density_pA_per_pF</x:v>
      </x:c>
      <x:c r="D4" s="41" t="n">
        <x:v>9</x:v>
      </x:c>
      <x:c r="E4" s="41" t="n">
        <x:v>4.331420922274898</x:v>
      </x:c>
      <x:c r="F4" s="41" t="n">
        <x:v>2.0225656990142955</x:v>
      </x:c>
      <x:c r="G4" s="41" t="n">
        <x:v>0.6741885663380985</x:v>
      </x:c>
      <x:c r="H4" s="41" t="n">
        <x:v>3.4431249013312337</x:v>
      </x:c>
      <x:c r="I4" s="41" t="n">
        <x:v>3.2013803517845014</x:v>
      </x:c>
      <x:c r="J4" s="41" t="n">
        <x:v>5.643510071664063</x:v>
      </x:c>
    </x:row>
    <x:row r="5">
      <x:c r="A5" s="44" t="n">
        <x:v>10</x:v>
      </x:c>
      <x:c r="B5" s="17" t="str">
        <x:v>SCA3</x:v>
      </x:c>
      <x:c r="C5" s="17" t="str">
        <x:v>block_fraction</x:v>
      </x:c>
      <x:c r="D5" s="41" t="n">
        <x:v>9</x:v>
      </x:c>
      <x:c r="E5" s="41" t="n">
        <x:v>0.1282051282051282</x:v>
      </x:c>
      <x:c r="F5" s="41" t="n">
        <x:v>0.18445505858895075</x:v>
      </x:c>
      <x:c r="G5" s="41" t="n">
        <x:v>0.06148501952965025</x:v>
      </x:c>
      <x:c r="H5" s="41" t="n">
        <x:v>0</x:v>
      </x:c>
      <x:c r="I5" s="41" t="n">
        <x:v>0.025641025641025644</x:v>
      </x:c>
      <x:c r="J5" s="41" t="n">
        <x:v>0.24786324786324787</x:v>
      </x:c>
    </x:row>
    <x:row r="6">
      <x:c r="A6" s="44" t="n">
        <x:v>10</x:v>
      </x:c>
      <x:c r="B6" s="17" t="str">
        <x:v>SCA3</x:v>
      </x:c>
      <x:c r="C6" s="17" t="str">
        <x:v>mean_first_spike_latency_ms</x:v>
      </x:c>
      <x:c r="D6" s="41" t="n">
        <x:v>9</x:v>
      </x:c>
      <x:c r="E6" s="41" t="n">
        <x:v>76.7117291967292</x:v>
      </x:c>
      <x:c r="F6" s="41" t="n">
        <x:v>83.89794625628576</x:v>
      </x:c>
      <x:c r="G6" s="41" t="n">
        <x:v>27.96598208542859</x:v>
      </x:c>
      <x:c r="H6" s="41" t="n">
        <x:v>28.53333333333333</x:v>
      </x:c>
      <x:c r="I6" s="41" t="n">
        <x:v>29.687780784030775</x:v>
      </x:c>
      <x:c r="J6" s="41" t="n">
        <x:v>132.99495791245783</x:v>
      </x:c>
    </x:row>
    <x:row r="7">
      <x:c r="A7" s="44" t="n">
        <x:v>10</x:v>
      </x:c>
      <x:c r="B7" s="17" t="str">
        <x:v>WT</x:v>
      </x:c>
      <x:c r="C7" s="17" t="str">
        <x:v>mean_sustained_rate_hz</x:v>
      </x:c>
      <x:c r="D7" s="41" t="n">
        <x:v>15</x:v>
      </x:c>
      <x:c r="E7" s="41" t="n">
        <x:v>21.077441077441083</x:v>
      </x:c>
      <x:c r="F7" s="41" t="n">
        <x:v>13.598796909667042</x:v>
      </x:c>
      <x:c r="G7" s="41" t="n">
        <x:v>3.511194263973156</x:v>
      </x:c>
      <x:c r="H7" s="41" t="n">
        <x:v>16.317016317016318</x:v>
      </x:c>
      <x:c r="I7" s="41" t="n">
        <x:v>14.73698523698524</x:v>
      </x:c>
      <x:c r="J7" s="41" t="n">
        <x:v>27.795907795907794</x:v>
      </x:c>
    </x:row>
    <x:row r="8">
      <x:c r="A8" s="44" t="n">
        <x:v>10</x:v>
      </x:c>
      <x:c r="B8" s="17" t="str">
        <x:v>WT</x:v>
      </x:c>
      <x:c r="C8" s="17" t="str">
        <x:v>maximum_sustained_rate_hz</x:v>
      </x:c>
      <x:c r="D8" s="41" t="n">
        <x:v>15</x:v>
      </x:c>
      <x:c r="E8" s="41" t="n">
        <x:v>62.15488215488215</x:v>
      </x:c>
      <x:c r="F8" s="41" t="n">
        <x:v>36.60507204647</x:v>
      </x:c>
      <x:c r="G8" s="41" t="n">
        <x:v>9.451388961513397</x:v>
      </x:c>
      <x:c r="H8" s="41" t="n">
        <x:v>69.6969696969697</x:v>
      </x:c>
      <x:c r="I8" s="41" t="n">
        <x:v>44.03872053872053</x:v>
      </x:c>
      <x:c r="J8" s="41" t="n">
        <x:v>79.32828282828278</x:v>
      </x:c>
    </x:row>
    <x:row r="9">
      <x:c r="A9" s="44" t="n">
        <x:v>10</x:v>
      </x:c>
      <x:c r="B9" s="17" t="str">
        <x:v>WT</x:v>
      </x:c>
      <x:c r="C9" s="17" t="str">
        <x:v>recruitment_current_density_pA_per_pF</x:v>
      </x:c>
      <x:c r="D9" s="41" t="n">
        <x:v>14</x:v>
      </x:c>
      <x:c r="E9" s="41" t="n">
        <x:v>1.1083569944676845</x:v>
      </x:c>
      <x:c r="F9" s="41" t="n">
        <x:v>0.7007230277961009</x:v>
      </x:c>
      <x:c r="G9" s="41" t="n">
        <x:v>0.1872761066454202</x:v>
      </x:c>
      <x:c r="H9" s="41" t="n">
        <x:v>0.9029623570026256</x:v>
      </x:c>
      <x:c r="I9" s="41" t="n">
        <x:v>0.8072201173226955</x:v>
      </x:c>
      <x:c r="J9" s="41" t="n">
        <x:v>1.4944664070166018</x:v>
      </x:c>
    </x:row>
    <x:row r="10">
      <x:c r="A10" s="44" t="n">
        <x:v>10</x:v>
      </x:c>
      <x:c r="B10" s="17" t="str">
        <x:v>WT</x:v>
      </x:c>
      <x:c r="C10" s="17" t="str">
        <x:v>block_fraction</x:v>
      </x:c>
      <x:c r="D10" s="41" t="n">
        <x:v>15</x:v>
      </x:c>
      <x:c r="E10" s="41" t="n">
        <x:v>0.13846153846153847</x:v>
      </x:c>
      <x:c r="F10" s="41" t="n">
        <x:v>0.14595127662315596</x:v>
      </x:c>
      <x:c r="G10" s="41" t="n">
        <x:v>0.03768445758127966</x:v>
      </x:c>
      <x:c r="H10" s="41" t="n">
        <x:v>0.15384615384615385</x:v>
      </x:c>
      <x:c r="I10" s="41" t="n">
        <x:v>0.07179487179487179</x:v>
      </x:c>
      <x:c r="J10" s="41" t="n">
        <x:v>0.21538461538461542</x:v>
      </x:c>
    </x:row>
    <x:row r="11">
      <x:c r="A11" s="44" t="n">
        <x:v>10</x:v>
      </x:c>
      <x:c r="B11" s="17" t="str">
        <x:v>WT</x:v>
      </x:c>
      <x:c r="C11" s="17" t="str">
        <x:v>mean_first_spike_latency_ms</x:v>
      </x:c>
      <x:c r="D11" s="41" t="n">
        <x:v>15</x:v>
      </x:c>
      <x:c r="E11" s="41" t="n">
        <x:v>76.41974867724866</x:v>
      </x:c>
      <x:c r="F11" s="41" t="n">
        <x:v>60.65976197236383</x:v>
      </x:c>
      <x:c r="G11" s="41" t="n">
        <x:v>15.662283193591406</x:v>
      </x:c>
      <x:c r="H11" s="41" t="n">
        <x:v>58.585714285714275</x:v>
      </x:c>
      <x:c r="I11" s="41" t="n">
        <x:v>49.777670039682555</x:v>
      </x:c>
      <x:c r="J11" s="41" t="n">
        <x:v>107.74171197089946</x:v>
      </x:c>
    </x:row>
    <x:row r="12">
      <x:c r="A12" s="44" t="n">
        <x:v>20</x:v>
      </x:c>
      <x:c r="B12" s="17" t="str">
        <x:v>SCA3</x:v>
      </x:c>
      <x:c r="C12" s="17" t="str">
        <x:v>mean_sustained_rate_hz</x:v>
      </x:c>
      <x:c r="D12" s="41" t="n">
        <x:v>9</x:v>
      </x:c>
      <x:c r="E12" s="41" t="n">
        <x:v>7.8995078995079</x:v>
      </x:c>
      <x:c r="F12" s="41" t="n">
        <x:v>3.6019664293703997</x:v>
      </x:c>
      <x:c r="G12" s="41" t="n">
        <x:v>1.2006554764567998</x:v>
      </x:c>
      <x:c r="H12" s="41" t="n">
        <x:v>7.226107226107226</x:v>
      </x:c>
      <x:c r="I12" s="41" t="n">
        <x:v>5.7757057757057755</x:v>
      </x:c>
      <x:c r="J12" s="41" t="n">
        <x:v>10.178926012259344</x:v>
      </x:c>
    </x:row>
    <x:row r="13">
      <x:c r="A13" s="44" t="n">
        <x:v>20</x:v>
      </x:c>
      <x:c r="B13" s="17" t="str">
        <x:v>SCA3</x:v>
      </x:c>
      <x:c r="C13" s="17" t="str">
        <x:v>maximum_sustained_rate_hz</x:v>
      </x:c>
      <x:c r="D13" s="41" t="n">
        <x:v>9</x:v>
      </x:c>
      <x:c r="E13" s="41" t="n">
        <x:v>34.68013468013467</x:v>
      </x:c>
      <x:c r="F13" s="41" t="n">
        <x:v>9.353666251238451</x:v>
      </x:c>
      <x:c r="G13" s="41" t="n">
        <x:v>3.117888750412817</x:v>
      </x:c>
      <x:c r="H13" s="41" t="n">
        <x:v>37.37373737373738</x:v>
      </x:c>
      <x:c r="I13" s="41" t="n">
        <x:v>28.843995510662175</x:v>
      </x:c>
      <x:c r="J13" s="41" t="n">
        <x:v>40.06734006734006</x:v>
      </x:c>
    </x:row>
    <x:row r="14">
      <x:c r="A14" s="44" t="n">
        <x:v>20</x:v>
      </x:c>
      <x:c r="B14" s="17" t="str">
        <x:v>SCA3</x:v>
      </x:c>
      <x:c r="C14" s="17" t="str">
        <x:v>recruitment_current_density_pA_per_pF</x:v>
      </x:c>
      <x:c r="D14" s="41" t="n">
        <x:v>9</x:v>
      </x:c>
      <x:c r="E14" s="41" t="n">
        <x:v>4.4111544073368565</x:v>
      </x:c>
      <x:c r="F14" s="41" t="n">
        <x:v>2.293828642492335</x:v>
      </x:c>
      <x:c r="G14" s="41" t="n">
        <x:v>0.7646095474974449</x:v>
      </x:c>
      <x:c r="H14" s="41" t="n">
        <x:v>3.51896907762046</x:v>
      </x:c>
      <x:c r="I14" s="41" t="n">
        <x:v>3.084404933707056</x:v>
      </x:c>
      <x:c r="J14" s="41" t="n">
        <x:v>5.987760593461003</x:v>
      </x:c>
    </x:row>
    <x:row r="15">
      <x:c r="A15" s="44" t="n">
        <x:v>20</x:v>
      </x:c>
      <x:c r="B15" s="17" t="str">
        <x:v>SCA3</x:v>
      </x:c>
      <x:c r="C15" s="17" t="str">
        <x:v>block_fraction</x:v>
      </x:c>
      <x:c r="D15" s="41" t="n">
        <x:v>9</x:v>
      </x:c>
      <x:c r="E15" s="41" t="n">
        <x:v>0.1282051282051282</x:v>
      </x:c>
      <x:c r="F15" s="41" t="n">
        <x:v>0.18445505858895075</x:v>
      </x:c>
      <x:c r="G15" s="41" t="n">
        <x:v>0.06148501952965025</x:v>
      </x:c>
      <x:c r="H15" s="41" t="n">
        <x:v>0</x:v>
      </x:c>
      <x:c r="I15" s="41" t="n">
        <x:v>0.025641025641025644</x:v>
      </x:c>
      <x:c r="J15" s="41" t="n">
        <x:v>0.24786324786324793</x:v>
      </x:c>
    </x:row>
    <x:row r="16">
      <x:c r="A16" s="44" t="n">
        <x:v>20</x:v>
      </x:c>
      <x:c r="B16" s="17" t="str">
        <x:v>SCA3</x:v>
      </x:c>
      <x:c r="C16" s="17" t="str">
        <x:v>mean_first_spike_latency_ms</x:v>
      </x:c>
      <x:c r="D16" s="41" t="n">
        <x:v>9</x:v>
      </x:c>
      <x:c r="E16" s="41" t="n">
        <x:v>76.7117291967292</x:v>
      </x:c>
      <x:c r="F16" s="41" t="n">
        <x:v>83.89794625628576</x:v>
      </x:c>
      <x:c r="G16" s="41" t="n">
        <x:v>27.96598208542859</x:v>
      </x:c>
      <x:c r="H16" s="41" t="n">
        <x:v>28.53333333333333</x:v>
      </x:c>
      <x:c r="I16" s="41" t="n">
        <x:v>30.819264971139965</x:v>
      </x:c>
      <x:c r="J16" s="41" t="n">
        <x:v>134.4504243025493</x:v>
      </x:c>
    </x:row>
    <x:row r="17">
      <x:c r="A17" s="44" t="n">
        <x:v>20</x:v>
      </x:c>
      <x:c r="B17" s="17" t="str">
        <x:v>WT</x:v>
      </x:c>
      <x:c r="C17" s="17" t="str">
        <x:v>mean_sustained_rate_hz</x:v>
      </x:c>
      <x:c r="D17" s="41" t="n">
        <x:v>15</x:v>
      </x:c>
      <x:c r="E17" s="41" t="n">
        <x:v>21.077441077441083</x:v>
      </x:c>
      <x:c r="F17" s="41" t="n">
        <x:v>13.598796909667042</x:v>
      </x:c>
      <x:c r="G17" s="41" t="n">
        <x:v>3.511194263973156</x:v>
      </x:c>
      <x:c r="H17" s="41" t="n">
        <x:v>16.317016317016318</x:v>
      </x:c>
      <x:c r="I17" s="41" t="n">
        <x:v>14.586765086765089</x:v>
      </x:c>
      <x:c r="J17" s="41" t="n">
        <x:v>27.977337477337482</x:v>
      </x:c>
    </x:row>
    <x:row r="18">
      <x:c r="A18" s="44" t="n">
        <x:v>20</x:v>
      </x:c>
      <x:c r="B18" s="17" t="str">
        <x:v>WT</x:v>
      </x:c>
      <x:c r="C18" s="17" t="str">
        <x:v>maximum_sustained_rate_hz</x:v>
      </x:c>
      <x:c r="D18" s="41" t="n">
        <x:v>15</x:v>
      </x:c>
      <x:c r="E18" s="41" t="n">
        <x:v>62.15488215488215</x:v>
      </x:c>
      <x:c r="F18" s="41" t="n">
        <x:v>36.60507204647</x:v>
      </x:c>
      <x:c r="G18" s="41" t="n">
        <x:v>9.451388961513397</x:v>
      </x:c>
      <x:c r="H18" s="41" t="n">
        <x:v>69.6969696969697</x:v>
      </x:c>
      <x:c r="I18" s="41" t="n">
        <x:v>44.44444444444445</x:v>
      </x:c>
      <x:c r="J18" s="41" t="n">
        <x:v>79.5959595959596</x:v>
      </x:c>
    </x:row>
    <x:row r="19">
      <x:c r="A19" s="44" t="n">
        <x:v>20</x:v>
      </x:c>
      <x:c r="B19" s="17" t="str">
        <x:v>WT</x:v>
      </x:c>
      <x:c r="C19" s="17" t="str">
        <x:v>recruitment_current_density_pA_per_pF</x:v>
      </x:c>
      <x:c r="D19" s="41" t="n">
        <x:v>14</x:v>
      </x:c>
      <x:c r="E19" s="41" t="n">
        <x:v>0.7822473031296335</x:v>
      </x:c>
      <x:c r="F19" s="41" t="n">
        <x:v>0.5039010606680384</x:v>
      </x:c>
      <x:c r="G19" s="41" t="n">
        <x:v>0.13467322327512785</x:v>
      </x:c>
      <x:c r="H19" s="41" t="n">
        <x:v>0.6247505665776498</x:v>
      </x:c>
      <x:c r="I19" s="41" t="n">
        <x:v>0.5552861192592812</x:v>
      </x:c>
      <x:c r="J19" s="41" t="n">
        <x:v>1.055810480477783</x:v>
      </x:c>
    </x:row>
    <x:row r="20">
      <x:c r="A20" s="44" t="n">
        <x:v>20</x:v>
      </x:c>
      <x:c r="B20" s="17" t="str">
        <x:v>WT</x:v>
      </x:c>
      <x:c r="C20" s="17" t="str">
        <x:v>block_fraction</x:v>
      </x:c>
      <x:c r="D20" s="41" t="n">
        <x:v>15</x:v>
      </x:c>
      <x:c r="E20" s="41" t="n">
        <x:v>0.13846153846153847</x:v>
      </x:c>
      <x:c r="F20" s="41" t="n">
        <x:v>0.14595127662315596</x:v>
      </x:c>
      <x:c r="G20" s="41" t="n">
        <x:v>0.03768445758127966</x:v>
      </x:c>
      <x:c r="H20" s="41" t="n">
        <x:v>0.15384615384615385</x:v>
      </x:c>
      <x:c r="I20" s="41" t="n">
        <x:v>0.0717948717948718</x:v>
      </x:c>
      <x:c r="J20" s="41" t="n">
        <x:v>0.21538461538461537</x:v>
      </x:c>
    </x:row>
    <x:row r="21">
      <x:c r="A21" s="44" t="n">
        <x:v>20</x:v>
      </x:c>
      <x:c r="B21" s="17" t="str">
        <x:v>WT</x:v>
      </x:c>
      <x:c r="C21" s="17" t="str">
        <x:v>mean_first_spike_latency_ms</x:v>
      </x:c>
      <x:c r="D21" s="41" t="n">
        <x:v>15</x:v>
      </x:c>
      <x:c r="E21" s="41" t="n">
        <x:v>76.41974867724866</x:v>
      </x:c>
      <x:c r="F21" s="41" t="n">
        <x:v>60.65976197236383</x:v>
      </x:c>
      <x:c r="G21" s="41" t="n">
        <x:v>15.662283193591406</x:v>
      </x:c>
      <x:c r="H21" s="41" t="n">
        <x:v>58.585714285714275</x:v>
      </x:c>
      <x:c r="I21" s="41" t="n">
        <x:v>50.35467599206349</x:v>
      </x:c>
      <x:c r="J21" s="41" t="n">
        <x:v>108.338483994709</x:v>
      </x:c>
    </x:row>
    <x:row r="22">
      <x:c r="A22" s="44" t="n">
        <x:v>50</x:v>
      </x:c>
      <x:c r="B22" s="17" t="str">
        <x:v>SCA3</x:v>
      </x:c>
      <x:c r="C22" s="17" t="str">
        <x:v>mean_sustained_rate_hz</x:v>
      </x:c>
      <x:c r="D22" s="41" t="n">
        <x:v>9</x:v>
      </x:c>
      <x:c r="E22" s="41" t="n">
        <x:v>7.8995078995079</x:v>
      </x:c>
      <x:c r="F22" s="41" t="n">
        <x:v>3.6019664293703997</x:v>
      </x:c>
      <x:c r="G22" s="41" t="n">
        <x:v>1.2006554764567998</x:v>
      </x:c>
      <x:c r="H22" s="41" t="n">
        <x:v>7.226107226107226</x:v>
      </x:c>
      <x:c r="I22" s="41" t="n">
        <x:v>5.758439091772426</x:v>
      </x:c>
      <x:c r="J22" s="41" t="n">
        <x:v>10.170076836743505</x:v>
      </x:c>
    </x:row>
    <x:row r="23">
      <x:c r="A23" s="44" t="n">
        <x:v>50</x:v>
      </x:c>
      <x:c r="B23" s="17" t="str">
        <x:v>SCA3</x:v>
      </x:c>
      <x:c r="C23" s="17" t="str">
        <x:v>maximum_sustained_rate_hz</x:v>
      </x:c>
      <x:c r="D23" s="41" t="n">
        <x:v>9</x:v>
      </x:c>
      <x:c r="E23" s="41" t="n">
        <x:v>34.68013468013467</x:v>
      </x:c>
      <x:c r="F23" s="41" t="n">
        <x:v>9.353666251238451</x:v>
      </x:c>
      <x:c r="G23" s="41" t="n">
        <x:v>3.117888750412817</x:v>
      </x:c>
      <x:c r="H23" s="41" t="n">
        <x:v>37.37373737373738</x:v>
      </x:c>
      <x:c r="I23" s="41" t="n">
        <x:v>28.7317620650954</x:v>
      </x:c>
      <x:c r="J23" s="41" t="n">
        <x:v>40.29180695847362</x:v>
      </x:c>
    </x:row>
    <x:row r="24">
      <x:c r="A24" s="44" t="n">
        <x:v>50</x:v>
      </x:c>
      <x:c r="B24" s="17" t="str">
        <x:v>SCA3</x:v>
      </x:c>
      <x:c r="C24" s="17" t="str">
        <x:v>recruitment_current_density_pA_per_pF</x:v>
      </x:c>
      <x:c r="D24" s="41" t="n">
        <x:v>9</x:v>
      </x:c>
      <x:c r="E24" s="41" t="n">
        <x:v>5.508752408185827</x:v>
      </x:c>
      <x:c r="F24" s="41" t="n">
        <x:v>3.9349728032067053</x:v>
      </x:c>
      <x:c r="G24" s="41" t="n">
        <x:v>1.3116576010689018</x:v>
      </x:c>
      <x:c r="H24" s="41" t="n">
        <x:v>4.048061102797193</x:v>
      </x:c>
      <x:c r="I24" s="41" t="n">
        <x:v>3.3958114913713437</x:v>
      </x:c>
      <x:c r="J24" s="41" t="n">
        <x:v>8.085012298711032</x:v>
      </x:c>
    </x:row>
    <x:row r="25">
      <x:c r="A25" s="44" t="n">
        <x:v>50</x:v>
      </x:c>
      <x:c r="B25" s="17" t="str">
        <x:v>SCA3</x:v>
      </x:c>
      <x:c r="C25" s="17" t="str">
        <x:v>block_fraction</x:v>
      </x:c>
      <x:c r="D25" s="41" t="n">
        <x:v>9</x:v>
      </x:c>
      <x:c r="E25" s="41" t="n">
        <x:v>0.1282051282051282</x:v>
      </x:c>
      <x:c r="F25" s="41" t="n">
        <x:v>0.18445505858895075</x:v>
      </x:c>
      <x:c r="G25" s="41" t="n">
        <x:v>0.06148501952965025</x:v>
      </x:c>
      <x:c r="H25" s="41" t="n">
        <x:v>0</x:v>
      </x:c>
      <x:c r="I25" s="41" t="n">
        <x:v>0.025641025641025644</x:v>
      </x:c>
      <x:c r="J25" s="41" t="n">
        <x:v>0.24786324786324787</x:v>
      </x:c>
    </x:row>
    <x:row r="26">
      <x:c r="A26" s="44" t="n">
        <x:v>50</x:v>
      </x:c>
      <x:c r="B26" s="17" t="str">
        <x:v>SCA3</x:v>
      </x:c>
      <x:c r="C26" s="17" t="str">
        <x:v>mean_first_spike_latency_ms</x:v>
      </x:c>
      <x:c r="D26" s="41" t="n">
        <x:v>9</x:v>
      </x:c>
      <x:c r="E26" s="41" t="n">
        <x:v>76.7117291967292</x:v>
      </x:c>
      <x:c r="F26" s="41" t="n">
        <x:v>83.89794625628576</x:v>
      </x:c>
      <x:c r="G26" s="41" t="n">
        <x:v>27.96598208542859</x:v>
      </x:c>
      <x:c r="H26" s="41" t="n">
        <x:v>28.53333333333333</x:v>
      </x:c>
      <x:c r="I26" s="41" t="n">
        <x:v>31.6828896103896</x:v>
      </x:c>
      <x:c r="J26" s="41" t="n">
        <x:v>131.5939643458391</x:v>
      </x:c>
    </x:row>
    <x:row r="27">
      <x:c r="A27" s="44" t="n">
        <x:v>50</x:v>
      </x:c>
      <x:c r="B27" s="17" t="str">
        <x:v>WT</x:v>
      </x:c>
      <x:c r="C27" s="17" t="str">
        <x:v>mean_sustained_rate_hz</x:v>
      </x:c>
      <x:c r="D27" s="41" t="n">
        <x:v>15</x:v>
      </x:c>
      <x:c r="E27" s="41" t="n">
        <x:v>21.077441077441083</x:v>
      </x:c>
      <x:c r="F27" s="41" t="n">
        <x:v>13.598796909667042</x:v>
      </x:c>
      <x:c r="G27" s="41" t="n">
        <x:v>3.511194263973156</x:v>
      </x:c>
      <x:c r="H27" s="41" t="n">
        <x:v>16.317016317016318</x:v>
      </x:c>
      <x:c r="I27" s="41" t="n">
        <x:v>14.887334887334886</x:v>
      </x:c>
      <x:c r="J27" s="41" t="n">
        <x:v>27.69230769230769</x:v>
      </x:c>
    </x:row>
    <x:row r="28">
      <x:c r="A28" s="44" t="n">
        <x:v>50</x:v>
      </x:c>
      <x:c r="B28" s="17" t="str">
        <x:v>WT</x:v>
      </x:c>
      <x:c r="C28" s="17" t="str">
        <x:v>maximum_sustained_rate_hz</x:v>
      </x:c>
      <x:c r="D28" s="41" t="n">
        <x:v>15</x:v>
      </x:c>
      <x:c r="E28" s="41" t="n">
        <x:v>62.15488215488215</x:v>
      </x:c>
      <x:c r="F28" s="41" t="n">
        <x:v>36.60507204647</x:v>
      </x:c>
      <x:c r="G28" s="41" t="n">
        <x:v>9.451388961513397</x:v>
      </x:c>
      <x:c r="H28" s="41" t="n">
        <x:v>69.6969696969697</x:v>
      </x:c>
      <x:c r="I28" s="41" t="n">
        <x:v>44.1060606060606</x:v>
      </x:c>
      <x:c r="J28" s="41" t="n">
        <x:v>79.46127946127946</x:v>
      </x:c>
    </x:row>
    <x:row r="29">
      <x:c r="A29" s="44" t="n">
        <x:v>50</x:v>
      </x:c>
      <x:c r="B29" s="17" t="str">
        <x:v>WT</x:v>
      </x:c>
      <x:c r="C29" s="17" t="str">
        <x:v>recruitment_current_density_pA_per_pF</x:v>
      </x:c>
      <x:c r="D29" s="41" t="n">
        <x:v>14</x:v>
      </x:c>
      <x:c r="E29" s="41" t="n">
        <x:v>0.6595791009567682</x:v>
      </x:c>
      <x:c r="F29" s="41" t="n">
        <x:v>0.4326536074901475</x:v>
      </x:c>
      <x:c r="G29" s="41" t="n">
        <x:v>0.11563154045570741</x:v>
      </x:c>
      <x:c r="H29" s="41" t="n">
        <x:v>0.5538630015547632</x:v>
      </x:c>
      <x:c r="I29" s="41" t="n">
        <x:v>0.45507301712593845</x:v>
      </x:c>
      <x:c r="J29" s="41" t="n">
        <x:v>0.8896576927340837</x:v>
      </x:c>
    </x:row>
    <x:row r="30">
      <x:c r="A30" s="44" t="n">
        <x:v>50</x:v>
      </x:c>
      <x:c r="B30" s="17" t="str">
        <x:v>WT</x:v>
      </x:c>
      <x:c r="C30" s="17" t="str">
        <x:v>block_fraction</x:v>
      </x:c>
      <x:c r="D30" s="41" t="n">
        <x:v>15</x:v>
      </x:c>
      <x:c r="E30" s="41" t="n">
        <x:v>0.13846153846153847</x:v>
      </x:c>
      <x:c r="F30" s="41" t="n">
        <x:v>0.14595127662315596</x:v>
      </x:c>
      <x:c r="G30" s="41" t="n">
        <x:v>0.03768445758127966</x:v>
      </x:c>
      <x:c r="H30" s="41" t="n">
        <x:v>0.15384615384615385</x:v>
      </x:c>
      <x:c r="I30" s="41" t="n">
        <x:v>0.0717948717948718</x:v>
      </x:c>
      <x:c r="J30" s="41" t="n">
        <x:v>0.21538461538461537</x:v>
      </x:c>
    </x:row>
    <x:row r="31">
      <x:c r="A31" s="45" t="n">
        <x:v>50</x:v>
      </x:c>
      <x:c r="B31" s="18" t="str">
        <x:v>WT</x:v>
      </x:c>
      <x:c r="C31" s="18" t="str">
        <x:v>mean_first_spike_latency_ms</x:v>
      </x:c>
      <x:c r="D31" s="42" t="n">
        <x:v>15</x:v>
      </x:c>
      <x:c r="E31" s="42" t="n">
        <x:v>76.41974867724866</x:v>
      </x:c>
      <x:c r="F31" s="42" t="n">
        <x:v>60.65976197236383</x:v>
      </x:c>
      <x:c r="G31" s="42" t="n">
        <x:v>15.662283193591406</x:v>
      </x:c>
      <x:c r="H31" s="42" t="n">
        <x:v>58.585714285714275</x:v>
      </x:c>
      <x:c r="I31" s="42" t="n">
        <x:v>50.75054814814815</x:v>
      </x:c>
      <x:c r="J31" s="42" t="n">
        <x:v>106.84003227513229</x:v>
      </x:c>
    </x:row>
  </x:sheetData>
  <x:pageMargins left="0.7" right="0.7" top="0.75" bottom="0.75" header="0.3" footer="0.3"/>
  <x:tableParts count="1">
    <x:tablePart xmlns:r="http://schemas.openxmlformats.org/officeDocument/2006/relationships" r:id="R89cbd950ef094afb"/>
  </x:tableParts>
</x:worksheet>
</file>